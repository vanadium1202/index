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<sst xmlns="http://schemas.openxmlformats.org/spreadsheetml/2006/main" count="53" uniqueCount="38">
  <si>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</si>
  <si>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</si>
  <si>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</si>
  <si>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</si>
  <si>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</si>
  <si>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</si>
  <si>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</si>
  <si>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</si>
  <si>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2026-09-22; 7 day = 2026-09-29, 15 day = 2026-10-07.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</si>
  <si>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</si>
  <si>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</si>
  <si>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</si>
  <si>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</si>
  <si>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</si>
  <si>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</si>
  <si>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</si>
  <si>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</si>
  <si>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</si>
  <si>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</si>
  <si>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</si>
  <si>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</si>
  <si>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</si>
  <si>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</si>
  <si>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</si>
  <si>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</si>
  <si>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</si>
  <si>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</si>
  <si>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</si>
  <si>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</si>
  <si>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</si>
  <si>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</si>
  <si>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</si>
  <si>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</si>
  <si>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regression</t>
  </si>
  <si>
    <t xml:space="preserve">Data: EIA daily spot prices (GitHub mirror of EIA data), to 2026-09-22.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</si>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</sst>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114.89</v>
      </c>
      <c r="I16" s="6" t="n">
        <f aca="false">Details!O2</f>
        <v>0.953763672949448</v>
      </c>
      <c r="J16" s="5" t="n">
        <f aca="false">Details!G3</f>
        <v>114.89</v>
      </c>
      <c r="K16" s="6" t="n">
        <f aca="false">Details!O3</f>
        <v>0.931402196736894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96.41</v>
      </c>
      <c r="I17" s="6" t="n">
        <f aca="false">Details!O4</f>
        <v>0.954075921750053</v>
      </c>
      <c r="J17" s="5" t="n">
        <f aca="false">Details!G5</f>
        <v>96.41</v>
      </c>
      <c r="K17" s="6" t="n">
        <f aca="false">Details!O5</f>
        <v>0.931472286957467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2.80272144506248</v>
      </c>
      <c r="I18" s="6" t="n">
        <f aca="false">Details!O6</f>
        <v>0.894937203237807</v>
      </c>
      <c r="J18" s="5" t="n">
        <f aca="false">Details!G7</f>
        <v>2.80340417020803</v>
      </c>
      <c r="K18" s="6" t="n">
        <f aca="false">Details!O7</f>
        <v>0.856720549778292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</row>
    <row r="2" customFormat="false" ht="15" hidden="false" customHeight="false" outlineLevel="0" collapsed="false">
      <c r="A2" s="8" t="s">
        <v>5</v>
      </c>
      <c r="B2" s="8" t="s">
        <v>29</v>
      </c>
      <c r="C2" s="9" t="n">
        <v>7</v>
      </c>
      <c r="D2" s="10" t="n">
        <v>46287</v>
      </c>
      <c r="E2" s="10" t="n">
        <v>46294</v>
      </c>
      <c r="F2" s="11" t="n">
        <v>114.89</v>
      </c>
      <c r="G2" s="11" t="n">
        <v>114.89</v>
      </c>
      <c r="H2" s="12" t="n">
        <f aca="false">G2/F2-1</f>
        <v>0</v>
      </c>
      <c r="I2" s="11" t="n">
        <v>101.925126707675</v>
      </c>
      <c r="J2" s="11" t="n">
        <v>128.623078832282</v>
      </c>
      <c r="K2" s="11" t="n">
        <v>91.8907034632722</v>
      </c>
      <c r="L2" s="11" t="n">
        <v>137.761906515218</v>
      </c>
      <c r="M2" s="13" t="n">
        <v>0.531219980787704</v>
      </c>
      <c r="N2" s="14" t="n">
        <v>0.0462363270505519</v>
      </c>
      <c r="O2" s="15" t="n">
        <f aca="false">1-N2</f>
        <v>0.953763672949448</v>
      </c>
      <c r="P2" s="13" t="n">
        <v>0.6940441882805</v>
      </c>
      <c r="Q2" s="13" t="n">
        <v>0.792008757525999</v>
      </c>
      <c r="R2" s="16" t="s">
        <v>30</v>
      </c>
    </row>
    <row r="3" customFormat="false" ht="15" hidden="false" customHeight="false" outlineLevel="0" collapsed="false">
      <c r="A3" s="8" t="s">
        <v>5</v>
      </c>
      <c r="B3" s="8" t="s">
        <v>29</v>
      </c>
      <c r="C3" s="9" t="n">
        <v>15</v>
      </c>
      <c r="D3" s="10" t="n">
        <v>46287</v>
      </c>
      <c r="E3" s="10" t="n">
        <v>46302</v>
      </c>
      <c r="F3" s="11" t="n">
        <v>114.89</v>
      </c>
      <c r="G3" s="11" t="n">
        <v>114.89</v>
      </c>
      <c r="H3" s="12" t="n">
        <f aca="false">G3/F3-1</f>
        <v>0</v>
      </c>
      <c r="I3" s="11" t="n">
        <v>95.0654871708784</v>
      </c>
      <c r="J3" s="11" t="n">
        <v>135.603960740583</v>
      </c>
      <c r="K3" s="11" t="n">
        <v>82.3148025556315</v>
      </c>
      <c r="L3" s="11" t="n">
        <v>151.889329853362</v>
      </c>
      <c r="M3" s="13" t="n">
        <v>0.547687861271676</v>
      </c>
      <c r="N3" s="14" t="n">
        <v>0.0685978032631059</v>
      </c>
      <c r="O3" s="15" t="n">
        <f aca="false">1-N3</f>
        <v>0.931402196736894</v>
      </c>
      <c r="P3" s="13" t="n">
        <v>0.533718689788054</v>
      </c>
      <c r="Q3" s="13" t="n">
        <v>0.792286501377411</v>
      </c>
      <c r="R3" s="16" t="s">
        <v>30</v>
      </c>
    </row>
    <row r="4" customFormat="false" ht="15" hidden="false" customHeight="false" outlineLevel="0" collapsed="false">
      <c r="A4" s="8" t="s">
        <v>6</v>
      </c>
      <c r="B4" s="8" t="s">
        <v>29</v>
      </c>
      <c r="C4" s="9" t="n">
        <v>7</v>
      </c>
      <c r="D4" s="10" t="n">
        <v>46287</v>
      </c>
      <c r="E4" s="10" t="n">
        <v>46294</v>
      </c>
      <c r="F4" s="11" t="n">
        <v>96.41</v>
      </c>
      <c r="G4" s="11" t="n">
        <v>96.41</v>
      </c>
      <c r="H4" s="12" t="n">
        <f aca="false">G4/F4-1</f>
        <v>0</v>
      </c>
      <c r="I4" s="11" t="n">
        <v>88.3597279676689</v>
      </c>
      <c r="J4" s="11" t="n">
        <v>104.236602534808</v>
      </c>
      <c r="K4" s="11" t="n">
        <v>81.8919952620275</v>
      </c>
      <c r="L4" s="11" t="n">
        <v>108.889196172455</v>
      </c>
      <c r="M4" s="13" t="n">
        <v>0.535542747358309</v>
      </c>
      <c r="N4" s="14" t="n">
        <v>0.0459240782499474</v>
      </c>
      <c r="O4" s="15" t="n">
        <f aca="false">1-N4</f>
        <v>0.954075921750053</v>
      </c>
      <c r="P4" s="13" t="n">
        <v>0.700768491834774</v>
      </c>
      <c r="Q4" s="13" t="n">
        <v>0.79912424740011</v>
      </c>
      <c r="R4" s="16" t="s">
        <v>30</v>
      </c>
    </row>
    <row r="5" customFormat="false" ht="15" hidden="false" customHeight="false" outlineLevel="0" collapsed="false">
      <c r="A5" s="8" t="s">
        <v>6</v>
      </c>
      <c r="B5" s="8" t="s">
        <v>29</v>
      </c>
      <c r="C5" s="9" t="n">
        <v>15</v>
      </c>
      <c r="D5" s="10" t="n">
        <v>46287</v>
      </c>
      <c r="E5" s="10" t="n">
        <v>46302</v>
      </c>
      <c r="F5" s="11" t="n">
        <v>96.41</v>
      </c>
      <c r="G5" s="11" t="n">
        <v>96.41</v>
      </c>
      <c r="H5" s="12" t="n">
        <f aca="false">G5/F5-1</f>
        <v>0</v>
      </c>
      <c r="I5" s="11" t="n">
        <v>84.5039939726771</v>
      </c>
      <c r="J5" s="11" t="n">
        <v>107.69485492397</v>
      </c>
      <c r="K5" s="11" t="n">
        <v>75.7511186524678</v>
      </c>
      <c r="L5" s="11" t="n">
        <v>116.169820720737</v>
      </c>
      <c r="M5" s="13" t="n">
        <v>0.554913294797688</v>
      </c>
      <c r="N5" s="14" t="n">
        <v>0.0685277130425333</v>
      </c>
      <c r="O5" s="15" t="n">
        <f aca="false">1-N5</f>
        <v>0.931472286957467</v>
      </c>
      <c r="P5" s="13" t="n">
        <v>0.534200385356455</v>
      </c>
      <c r="Q5" s="13" t="n">
        <v>0.813774104683196</v>
      </c>
      <c r="R5" s="16" t="s">
        <v>30</v>
      </c>
    </row>
    <row r="6" customFormat="false" ht="15" hidden="false" customHeight="false" outlineLevel="0" collapsed="false">
      <c r="A6" s="8" t="s">
        <v>31</v>
      </c>
      <c r="B6" s="8" t="s">
        <v>32</v>
      </c>
      <c r="C6" s="9" t="n">
        <v>7</v>
      </c>
      <c r="D6" s="10" t="n">
        <v>46287</v>
      </c>
      <c r="E6" s="10" t="n">
        <v>46294</v>
      </c>
      <c r="F6" s="11" t="n">
        <v>2.9</v>
      </c>
      <c r="G6" s="11" t="n">
        <v>2.80272144506248</v>
      </c>
      <c r="H6" s="12" t="n">
        <f aca="false">G6/F6-1</f>
        <v>-0.0335443292888015</v>
      </c>
      <c r="I6" s="11" t="n">
        <v>2.6056409557349</v>
      </c>
      <c r="J6" s="11" t="n">
        <v>3.09000841299767</v>
      </c>
      <c r="K6" s="11" t="n">
        <v>2.46457089258487</v>
      </c>
      <c r="L6" s="11" t="n">
        <v>3.40735253094568</v>
      </c>
      <c r="M6" s="13" t="n">
        <v>0.299231508165226</v>
      </c>
      <c r="N6" s="14" t="n">
        <v>0.105062796762193</v>
      </c>
      <c r="O6" s="15" t="n">
        <f aca="false">1-N6</f>
        <v>0.894937203237807</v>
      </c>
      <c r="P6" s="13" t="n">
        <v>0.368395773294909</v>
      </c>
      <c r="Q6" s="13" t="n">
        <v>0.83032293377121</v>
      </c>
      <c r="R6" s="16" t="s">
        <v>33</v>
      </c>
    </row>
    <row r="7" customFormat="false" ht="15" hidden="false" customHeight="false" outlineLevel="0" collapsed="false">
      <c r="A7" s="8" t="s">
        <v>31</v>
      </c>
      <c r="B7" s="8" t="s">
        <v>32</v>
      </c>
      <c r="C7" s="9" t="n">
        <v>15</v>
      </c>
      <c r="D7" s="10" t="n">
        <v>46287</v>
      </c>
      <c r="E7" s="10" t="n">
        <v>46302</v>
      </c>
      <c r="F7" s="11" t="n">
        <v>2.9</v>
      </c>
      <c r="G7" s="11" t="n">
        <v>2.80340417020803</v>
      </c>
      <c r="H7" s="12" t="n">
        <f aca="false">G7/F7-1</f>
        <v>-0.0333089068248189</v>
      </c>
      <c r="I7" s="11" t="n">
        <v>2.52402282831474</v>
      </c>
      <c r="J7" s="11" t="n">
        <v>3.23201443704406</v>
      </c>
      <c r="K7" s="11" t="n">
        <v>2.33290566134017</v>
      </c>
      <c r="L7" s="11" t="n">
        <v>3.90079026686491</v>
      </c>
      <c r="M7" s="13" t="n">
        <v>0.335260115606936</v>
      </c>
      <c r="N7" s="14" t="n">
        <v>0.143279450221708</v>
      </c>
      <c r="O7" s="15" t="n">
        <f aca="false">1-N7</f>
        <v>0.856720549778292</v>
      </c>
      <c r="P7" s="13" t="n">
        <v>0.271676300578035</v>
      </c>
      <c r="Q7" s="13" t="n">
        <v>0.83030303030303</v>
      </c>
      <c r="R7" s="16" t="s">
        <v>33</v>
      </c>
    </row>
    <row r="9" customFormat="false" ht="15" hidden="false" customHeight="false" outlineLevel="0" collapsed="false">
      <c r="A9" s="7" t="s">
        <v>34</v>
      </c>
    </row>
    <row r="10" customFormat="false" ht="15" hidden="false" customHeight="false" outlineLevel="0" collapsed="false">
      <c r="A10" s="7" t="s">
        <v>35</v>
      </c>
    </row>
    <row r="11" customFormat="false" ht="15" hidden="false" customHeight="false" outlineLevel="0" collapsed="false">
      <c r="A11" s="7" t="s">
        <v>36</v>
      </c>
    </row>
    <row r="12" customFormat="false" ht="15" hidden="false" customHeight="false" outlineLevel="0" collapsed="false">
      <c r="A12" s="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2026-09-26T07:22:13Z</dcterms:created>
  <dc:creator>openpyxl</dc:creator>
  <dc:description/>
  <dc:language>en-US</dc:language>
  <cp:lastModifiedBy/>
  <dcterms:modified xsi:type="dcterms:W3CDTF">2026-09-26T07:22:13Z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