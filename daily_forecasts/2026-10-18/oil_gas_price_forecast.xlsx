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<sst xmlns="http://schemas.openxmlformats.org/spreadsheetml/2006/main" count="54" uniqueCount="39">
  <si>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</si>
  <si>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</si>
  <si>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</si>
  <si>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</si>
  <si>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</si>
  <si>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</si>
  <si>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</si>
  <si>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</si>
  <si>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2026-10-14; 7 day = 2026-10-21, 15 day = 2026-10-29.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</si>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</sst>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126.55</v>
      </c>
      <c r="I16" s="6" t="n">
        <f aca="false">Details!O2</f>
        <v>0.953656995159445</v>
      </c>
      <c r="J16" s="5" t="n">
        <f aca="false">Details!G3</f>
        <v>126.55</v>
      </c>
      <c r="K16" s="6" t="n">
        <f aca="false">Details!O3</f>
        <v>0.931187057374352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101.91</v>
      </c>
      <c r="I17" s="6" t="n">
        <f aca="false">Details!O4</f>
        <v>0.953936744788498</v>
      </c>
      <c r="J17" s="5" t="n">
        <f aca="false">Details!G5</f>
        <v>101.91</v>
      </c>
      <c r="K17" s="6" t="n">
        <f aca="false">Details!O5</f>
        <v>0.931518911250012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3.22</v>
      </c>
      <c r="I18" s="6" t="n">
        <f aca="false">Details!O6</f>
        <v>0.890190177554327</v>
      </c>
      <c r="J18" s="5" t="n">
        <f aca="false">Details!G7</f>
        <v>3.06796931770086</v>
      </c>
      <c r="K18" s="6" t="n">
        <f aca="false">Details!O7</f>
        <v>0.85915507269062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46309</v>
      </c>
      <c r="E2" s="10" t="n">
        <v>46316</v>
      </c>
      <c r="F2" s="11" t="n">
        <v>126.55</v>
      </c>
      <c r="G2" s="11" t="n">
        <v>126.55</v>
      </c>
      <c r="H2" s="12" t="n">
        <f aca="false">G2/F2-1</f>
        <v>0</v>
      </c>
      <c r="I2" s="11" t="n">
        <v>110.248766328426</v>
      </c>
      <c r="J2" s="11" t="n">
        <v>144.167048766318</v>
      </c>
      <c r="K2" s="11" t="n">
        <v>99.1272472220683</v>
      </c>
      <c r="L2" s="11" t="n">
        <v>155.578630189186</v>
      </c>
      <c r="M2" s="13" t="n">
        <v>0.532885261641863</v>
      </c>
      <c r="N2" s="14" t="n">
        <v>0.0463430048405547</v>
      </c>
      <c r="O2" s="15" t="n">
        <f aca="false">1-N2</f>
        <v>0.953656995159445</v>
      </c>
      <c r="P2" s="13" t="n">
        <v>0.693230916946712</v>
      </c>
      <c r="Q2" s="13" t="n">
        <v>0.783369803063457</v>
      </c>
      <c r="R2" s="13" t="n">
        <v>0.78957528957529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46309</v>
      </c>
      <c r="E3" s="10" t="n">
        <v>46324</v>
      </c>
      <c r="F3" s="11" t="n">
        <v>126.55</v>
      </c>
      <c r="G3" s="11" t="n">
        <v>126.55</v>
      </c>
      <c r="H3" s="12" t="n">
        <f aca="false">G3/F3-1</f>
        <v>0</v>
      </c>
      <c r="I3" s="11" t="n">
        <v>102.258710223637</v>
      </c>
      <c r="J3" s="11" t="n">
        <v>153.647994666834</v>
      </c>
      <c r="K3" s="11" t="n">
        <v>86.2471785454344</v>
      </c>
      <c r="L3" s="11" t="n">
        <v>177.034573514863</v>
      </c>
      <c r="M3" s="13" t="n">
        <v>0.552238805970149</v>
      </c>
      <c r="N3" s="14" t="n">
        <v>0.0688129426256479</v>
      </c>
      <c r="O3" s="15" t="n">
        <f aca="false">1-N3</f>
        <v>0.931187057374352</v>
      </c>
      <c r="P3" s="13" t="n">
        <v>0.532980259990371</v>
      </c>
      <c r="Q3" s="13" t="n">
        <v>0.79295154185022</v>
      </c>
      <c r="R3" s="13" t="n">
        <v>0.783203125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46309</v>
      </c>
      <c r="E4" s="10" t="n">
        <v>46316</v>
      </c>
      <c r="F4" s="11" t="n">
        <v>101.91</v>
      </c>
      <c r="G4" s="11" t="n">
        <v>101.91</v>
      </c>
      <c r="H4" s="12" t="n">
        <f aca="false">G4/F4-1</f>
        <v>0</v>
      </c>
      <c r="I4" s="11" t="n">
        <v>90.6080288047093</v>
      </c>
      <c r="J4" s="11" t="n">
        <v>113.38424731664</v>
      </c>
      <c r="K4" s="11" t="n">
        <v>82.6947809002898</v>
      </c>
      <c r="L4" s="11" t="n">
        <v>120.071759093373</v>
      </c>
      <c r="M4" s="13" t="n">
        <v>0.537205952952472</v>
      </c>
      <c r="N4" s="14" t="n">
        <v>0.0460632552115024</v>
      </c>
      <c r="O4" s="15" t="n">
        <f aca="false">1-N4</f>
        <v>0.953936744788498</v>
      </c>
      <c r="P4" s="13" t="n">
        <v>0.699471915506481</v>
      </c>
      <c r="Q4" s="13" t="n">
        <v>0.800875273522976</v>
      </c>
      <c r="R4" s="13" t="n">
        <v>0.810810810810811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46309</v>
      </c>
      <c r="E5" s="10" t="n">
        <v>46324</v>
      </c>
      <c r="F5" s="11" t="n">
        <v>101.91</v>
      </c>
      <c r="G5" s="11" t="n">
        <v>101.91</v>
      </c>
      <c r="H5" s="12" t="n">
        <f aca="false">G5/F5-1</f>
        <v>0</v>
      </c>
      <c r="I5" s="11" t="n">
        <v>85.503157928385</v>
      </c>
      <c r="J5" s="11" t="n">
        <v>118.739817839881</v>
      </c>
      <c r="K5" s="11" t="n">
        <v>74.0535193838932</v>
      </c>
      <c r="L5" s="11" t="n">
        <v>131.729115552947</v>
      </c>
      <c r="M5" s="13" t="n">
        <v>0.556571978815599</v>
      </c>
      <c r="N5" s="14" t="n">
        <v>0.0684810887499878</v>
      </c>
      <c r="O5" s="15" t="n">
        <f aca="false">1-N5</f>
        <v>0.931518911250012</v>
      </c>
      <c r="P5" s="13" t="n">
        <v>0.535387578237843</v>
      </c>
      <c r="Q5" s="13" t="n">
        <v>0.80726872246696</v>
      </c>
      <c r="R5" s="13" t="n">
        <v>0.814453125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46309</v>
      </c>
      <c r="E6" s="10" t="n">
        <v>46316</v>
      </c>
      <c r="F6" s="11" t="n">
        <v>3.22</v>
      </c>
      <c r="G6" s="11" t="n">
        <v>3.22</v>
      </c>
      <c r="H6" s="12" t="n">
        <f aca="false">G6/F6-1</f>
        <v>0</v>
      </c>
      <c r="I6" s="11" t="n">
        <v>2.98515424817596</v>
      </c>
      <c r="J6" s="11" t="n">
        <v>3.47907489430198</v>
      </c>
      <c r="K6" s="11" t="n">
        <v>2.82781656416723</v>
      </c>
      <c r="L6" s="11" t="n">
        <v>3.70623153650955</v>
      </c>
      <c r="M6" s="13" t="n">
        <v>0.498799807969275</v>
      </c>
      <c r="N6" s="14" t="n">
        <v>0.109809822445673</v>
      </c>
      <c r="O6" s="15" t="n">
        <f aca="false">1-N6</f>
        <v>0.890190177554327</v>
      </c>
      <c r="P6" s="13" t="n">
        <v>0.420067210753721</v>
      </c>
      <c r="Q6" s="13" t="n">
        <v>0.811269146608315</v>
      </c>
      <c r="R6" s="13" t="n">
        <v>0.826254826254826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46309</v>
      </c>
      <c r="E7" s="10" t="n">
        <v>46324</v>
      </c>
      <c r="F7" s="11" t="n">
        <v>3.22</v>
      </c>
      <c r="G7" s="11" t="n">
        <v>3.06796931770086</v>
      </c>
      <c r="H7" s="12" t="n">
        <f aca="false">G7/F7-1</f>
        <v>-0.0472144976084287</v>
      </c>
      <c r="I7" s="11" t="n">
        <v>2.77402613657568</v>
      </c>
      <c r="J7" s="11" t="n">
        <v>3.4895117560625</v>
      </c>
      <c r="K7" s="11" t="n">
        <v>2.59412098267082</v>
      </c>
      <c r="L7" s="11" t="n">
        <v>3.80845965740818</v>
      </c>
      <c r="M7" s="13" t="n">
        <v>0.321136254212807</v>
      </c>
      <c r="N7" s="14" t="n">
        <v>0.14084492730938</v>
      </c>
      <c r="O7" s="15" t="n">
        <f aca="false">1-N7</f>
        <v>0.85915507269062</v>
      </c>
      <c r="P7" s="13" t="n">
        <v>0.271545498314877</v>
      </c>
      <c r="Q7" s="13" t="n">
        <v>0.810022026431718</v>
      </c>
      <c r="R7" s="13" t="n">
        <v>0.841796875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2026-10-18T05:52:25Z</dcterms:created>
  <dc:creator>openpyxl</dc:creator>
  <dc:description/>
  <dc:language>en-US</dc:language>
  <cp:lastModifiedBy/>
  <dcterms:modified xsi:type="dcterms:W3CDTF">2026-10-18T05:52:25Z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