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<sst xmlns="http://schemas.openxmlformats.org/spreadsheetml/2006/main" count="54" uniqueCount="38">
  <si>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</si>
  <si>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</si>
  <si>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</si>
  <si>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</si>
  <si>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</si>
  <si>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</si>
  <si>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</si>
  <si>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</si>
  <si>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2026-10-27; 7 day = 2026-11-03, 15 day = 2026-11-11.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</si>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</sst>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123.1</v>
      </c>
      <c r="I16" s="6" t="n">
        <f aca="false">Details!O2</f>
        <v>0.953551045437089</v>
      </c>
      <c r="J16" s="5" t="n">
        <f aca="false">Details!G3</f>
        <v>123.1</v>
      </c>
      <c r="K16" s="6" t="n">
        <f aca="false">Details!O3</f>
        <v>0.931442443160265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103.37</v>
      </c>
      <c r="I17" s="6" t="n">
        <f aca="false">Details!O4</f>
        <v>0.953874720659574</v>
      </c>
      <c r="J17" s="5" t="n">
        <f aca="false">Details!G5</f>
        <v>103.37</v>
      </c>
      <c r="K17" s="6" t="n">
        <f aca="false">Details!O5</f>
        <v>0.931620955590168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2.76</v>
      </c>
      <c r="I18" s="6" t="n">
        <f aca="false">Details!O6</f>
        <v>0.889792455972064</v>
      </c>
      <c r="J18" s="5" t="n">
        <f aca="false">Details!G7</f>
        <v>2.76</v>
      </c>
      <c r="K18" s="6" t="n">
        <f aca="false">Details!O7</f>
        <v>0.846576761223249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46322</v>
      </c>
      <c r="E2" s="10" t="n">
        <v>46329</v>
      </c>
      <c r="F2" s="11" t="n">
        <v>123.1</v>
      </c>
      <c r="G2" s="11" t="n">
        <v>123.1</v>
      </c>
      <c r="H2" s="12" t="n">
        <f aca="false">G2/F2-1</f>
        <v>0</v>
      </c>
      <c r="I2" s="11" t="n">
        <v>108.90360863425</v>
      </c>
      <c r="J2" s="11" t="n">
        <v>138.339007547121</v>
      </c>
      <c r="K2" s="11" t="n">
        <v>99.253635145105</v>
      </c>
      <c r="L2" s="11" t="n">
        <v>148.104316503586</v>
      </c>
      <c r="M2" s="13" t="n">
        <v>0.534582132564842</v>
      </c>
      <c r="N2" s="14" t="n">
        <v>0.0464489545629107</v>
      </c>
      <c r="O2" s="15" t="n">
        <f aca="false">1-N2</f>
        <v>0.953551045437089</v>
      </c>
      <c r="P2" s="13" t="n">
        <v>0.690682036503362</v>
      </c>
      <c r="Q2" s="13" t="n">
        <v>0.780514504652436</v>
      </c>
      <c r="R2" s="13" t="n">
        <v>0.787234042553192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46322</v>
      </c>
      <c r="E3" s="10" t="n">
        <v>46337</v>
      </c>
      <c r="F3" s="11" t="n">
        <v>123.1</v>
      </c>
      <c r="G3" s="11" t="n">
        <v>123.1</v>
      </c>
      <c r="H3" s="12" t="n">
        <f aca="false">G3/F3-1</f>
        <v>0</v>
      </c>
      <c r="I3" s="11" t="n">
        <v>102.410397428633</v>
      </c>
      <c r="J3" s="11" t="n">
        <v>146.461453545136</v>
      </c>
      <c r="K3" s="11" t="n">
        <v>88.7332343729111</v>
      </c>
      <c r="L3" s="11" t="n">
        <v>166.270704765676</v>
      </c>
      <c r="M3" s="13" t="n">
        <v>0.553468208092486</v>
      </c>
      <c r="N3" s="14" t="n">
        <v>0.0685575568397347</v>
      </c>
      <c r="O3" s="15" t="n">
        <f aca="false">1-N3</f>
        <v>0.931442443160265</v>
      </c>
      <c r="P3" s="13" t="n">
        <v>0.535163776493256</v>
      </c>
      <c r="Q3" s="13" t="n">
        <v>0.785123966942149</v>
      </c>
      <c r="R3" s="13" t="n">
        <v>0.76908023483366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46322</v>
      </c>
      <c r="E4" s="10" t="n">
        <v>46329</v>
      </c>
      <c r="F4" s="11" t="n">
        <v>103.37</v>
      </c>
      <c r="G4" s="11" t="n">
        <v>103.37</v>
      </c>
      <c r="H4" s="12" t="n">
        <f aca="false">G4/F4-1</f>
        <v>0</v>
      </c>
      <c r="I4" s="11" t="n">
        <v>92.0121535996662</v>
      </c>
      <c r="J4" s="11" t="n">
        <v>115.068954323374</v>
      </c>
      <c r="K4" s="11" t="n">
        <v>83.8987749028762</v>
      </c>
      <c r="L4" s="11" t="n">
        <v>121.772354947906</v>
      </c>
      <c r="M4" s="13" t="n">
        <v>0.539385206532181</v>
      </c>
      <c r="N4" s="14" t="n">
        <v>0.0461252793404265</v>
      </c>
      <c r="O4" s="15" t="n">
        <f aca="false">1-N4</f>
        <v>0.953874720659574</v>
      </c>
      <c r="P4" s="13" t="n">
        <v>0.698847262247839</v>
      </c>
      <c r="Q4" s="13" t="n">
        <v>0.799671592775041</v>
      </c>
      <c r="R4" s="13" t="n">
        <v>0.806576402321083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46322</v>
      </c>
      <c r="E5" s="10" t="n">
        <v>46337</v>
      </c>
      <c r="F5" s="11" t="n">
        <v>103.37</v>
      </c>
      <c r="G5" s="11" t="n">
        <v>103.37</v>
      </c>
      <c r="H5" s="12" t="n">
        <f aca="false">G5/F5-1</f>
        <v>0</v>
      </c>
      <c r="I5" s="11" t="n">
        <v>87.3385323784452</v>
      </c>
      <c r="J5" s="11" t="n">
        <v>120.433080071108</v>
      </c>
      <c r="K5" s="11" t="n">
        <v>75.1366595942806</v>
      </c>
      <c r="L5" s="11" t="n">
        <v>133.598792042297</v>
      </c>
      <c r="M5" s="13" t="n">
        <v>0.560693641618497</v>
      </c>
      <c r="N5" s="14" t="n">
        <v>0.0683790444098319</v>
      </c>
      <c r="O5" s="15" t="n">
        <f aca="false">1-N5</f>
        <v>0.931620955590168</v>
      </c>
      <c r="P5" s="13" t="n">
        <v>0.536127167630058</v>
      </c>
      <c r="Q5" s="13" t="n">
        <v>0.805509641873278</v>
      </c>
      <c r="R5" s="13" t="n">
        <v>0.812133072407045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46322</v>
      </c>
      <c r="E6" s="10" t="n">
        <v>46329</v>
      </c>
      <c r="F6" s="11" t="n">
        <v>2.76</v>
      </c>
      <c r="G6" s="11" t="n">
        <v>2.76</v>
      </c>
      <c r="H6" s="12" t="n">
        <f aca="false">G6/F6-1</f>
        <v>0</v>
      </c>
      <c r="I6" s="11" t="n">
        <v>2.45852845604622</v>
      </c>
      <c r="J6" s="11" t="n">
        <v>3.10326304702718</v>
      </c>
      <c r="K6" s="11" t="n">
        <v>2.2583926097042</v>
      </c>
      <c r="L6" s="11" t="n">
        <v>3.4153087281035</v>
      </c>
      <c r="M6" s="13" t="n">
        <v>0.498559077809798</v>
      </c>
      <c r="N6" s="14" t="n">
        <v>0.110207544027937</v>
      </c>
      <c r="O6" s="15" t="n">
        <f aca="false">1-N6</f>
        <v>0.889792455972064</v>
      </c>
      <c r="P6" s="13" t="n">
        <v>0.416906820365034</v>
      </c>
      <c r="Q6" s="13" t="n">
        <v>0.811165845648604</v>
      </c>
      <c r="R6" s="13" t="n">
        <v>0.827852998065764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46322</v>
      </c>
      <c r="E7" s="10" t="n">
        <v>46337</v>
      </c>
      <c r="F7" s="11" t="n">
        <v>2.76</v>
      </c>
      <c r="G7" s="11" t="n">
        <v>2.76</v>
      </c>
      <c r="H7" s="12" t="n">
        <f aca="false">G7/F7-1</f>
        <v>0</v>
      </c>
      <c r="I7" s="11" t="n">
        <v>2.35605322743091</v>
      </c>
      <c r="J7" s="11" t="n">
        <v>3.25191608878585</v>
      </c>
      <c r="K7" s="11" t="n">
        <v>2.11273376108439</v>
      </c>
      <c r="L7" s="11" t="n">
        <v>3.71424054662121</v>
      </c>
      <c r="M7" s="13" t="n">
        <v>0.485067437379576</v>
      </c>
      <c r="N7" s="14" t="n">
        <v>0.153423238776751</v>
      </c>
      <c r="O7" s="15" t="n">
        <f aca="false">1-N7</f>
        <v>0.846576761223249</v>
      </c>
      <c r="P7" s="13" t="n">
        <v>0.293352601156069</v>
      </c>
      <c r="Q7" s="13" t="n">
        <v>0.82038567493113</v>
      </c>
      <c r="R7" s="13" t="n">
        <v>0.827788649706458</v>
      </c>
      <c r="S7" s="16" t="s">
        <v>31</v>
      </c>
    </row>
    <row r="9" customFormat="false" ht="15" hidden="false" customHeight="false" outlineLevel="0" collapsed="false">
      <c r="A9" s="7" t="s">
        <v>34</v>
      </c>
    </row>
    <row r="10" customFormat="false" ht="15" hidden="false" customHeight="false" outlineLevel="0" collapsed="false">
      <c r="A10" s="7" t="s">
        <v>35</v>
      </c>
    </row>
    <row r="11" customFormat="false" ht="15" hidden="false" customHeight="false" outlineLevel="0" collapsed="false">
      <c r="A11" s="7" t="s">
        <v>36</v>
      </c>
    </row>
    <row r="12" customFormat="false" ht="15" hidden="false" customHeight="false" outlineLevel="0" collapsed="false">
      <c r="A12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2026-10-29T07:01:58Z</dcterms:created>
  <dc:creator>openpyxl</dc:creator>
  <dc:description/>
  <dc:language>en-US</dc:language>
  <cp:lastModifiedBy/>
  <dcterms:modified xsi:type="dcterms:W3CDTF">2026-10-29T07:01:58Z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