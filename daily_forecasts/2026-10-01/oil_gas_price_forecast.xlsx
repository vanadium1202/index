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<sst xmlns="http://schemas.openxmlformats.org/spreadsheetml/2006/main" count="54" uniqueCount="39">
  <si>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</si>
  <si>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</si>
  <si>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</si>
  <si>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</si>
  <si>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</si>
  <si>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</si>
  <si>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</si>
  <si>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</si>
  <si>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2026-09-29; 7 day = 2026-10-06, 15 day = 2026-10-14.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</si>
  <si>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</si>
  <si>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</si>
  <si>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</si>
  <si>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</si>
  <si>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</si>
  <si>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</si>
  <si>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</si>
  <si>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</si>
  <si>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</si>
  <si>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</si>
  <si>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</si>
  <si>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</si>
  <si>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</si>
  <si>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</si>
  <si>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</si>
  <si>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</si>
  <si>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</si>
  <si>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</si>
  <si>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</si>
  <si>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</si>
  <si>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</si>
  <si>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</si>
  <si>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</si>
  <si>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</si>
  <si>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</si>
  <si>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Ridge regression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</si>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</sst>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113.96</v>
      </c>
      <c r="I16" s="6" t="n">
        <f aca="false">Details!O2</f>
        <v>0.953786854836146</v>
      </c>
      <c r="J16" s="5" t="n">
        <f aca="false">Details!G3</f>
        <v>113.96</v>
      </c>
      <c r="K16" s="6" t="n">
        <f aca="false">Details!O3</f>
        <v>0.931303370654639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96.16</v>
      </c>
      <c r="I17" s="6" t="n">
        <f aca="false">Details!O4</f>
        <v>0.953955192849908</v>
      </c>
      <c r="J17" s="5" t="n">
        <f aca="false">Details!G5</f>
        <v>96.16</v>
      </c>
      <c r="K17" s="6" t="n">
        <f aca="false">Details!O5</f>
        <v>0.931351882727412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3.18</v>
      </c>
      <c r="I18" s="6" t="n">
        <f aca="false">Details!O6</f>
        <v>0.890189729064668</v>
      </c>
      <c r="J18" s="5" t="n">
        <f aca="false">Details!G7</f>
        <v>2.90568233676871</v>
      </c>
      <c r="K18" s="6" t="n">
        <f aca="false">Details!O7</f>
        <v>0.858617601244362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46294</v>
      </c>
      <c r="E2" s="10" t="n">
        <v>46301</v>
      </c>
      <c r="F2" s="11" t="n">
        <v>113.96</v>
      </c>
      <c r="G2" s="11" t="n">
        <v>113.96</v>
      </c>
      <c r="H2" s="12" t="n">
        <f aca="false">G2/F2-1</f>
        <v>0</v>
      </c>
      <c r="I2" s="11" t="n">
        <v>101.310591844289</v>
      </c>
      <c r="J2" s="11" t="n">
        <v>127.162412166814</v>
      </c>
      <c r="K2" s="11" t="n">
        <v>92.6621810155294</v>
      </c>
      <c r="L2" s="11" t="n">
        <v>135.740061198172</v>
      </c>
      <c r="M2" s="13" t="n">
        <v>0.529298751200769</v>
      </c>
      <c r="N2" s="14" t="n">
        <v>0.0462131451638539</v>
      </c>
      <c r="O2" s="15" t="n">
        <f aca="false">1-N2</f>
        <v>0.953786854836146</v>
      </c>
      <c r="P2" s="13" t="n">
        <v>0.6940441882805</v>
      </c>
      <c r="Q2" s="13" t="n">
        <v>0.787082649151615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46294</v>
      </c>
      <c r="E3" s="10" t="n">
        <v>46309</v>
      </c>
      <c r="F3" s="11" t="n">
        <v>113.96</v>
      </c>
      <c r="G3" s="11" t="n">
        <v>113.96</v>
      </c>
      <c r="H3" s="12" t="n">
        <f aca="false">G3/F3-1</f>
        <v>0</v>
      </c>
      <c r="I3" s="11" t="n">
        <v>95.0079482512934</v>
      </c>
      <c r="J3" s="11" t="n">
        <v>134.315553698809</v>
      </c>
      <c r="K3" s="11" t="n">
        <v>82.3636392706945</v>
      </c>
      <c r="L3" s="11" t="n">
        <v>151.436937648117</v>
      </c>
      <c r="M3" s="13" t="n">
        <v>0.548169556840077</v>
      </c>
      <c r="N3" s="14" t="n">
        <v>0.0686966293453611</v>
      </c>
      <c r="O3" s="15" t="n">
        <f aca="false">1-N3</f>
        <v>0.931303370654639</v>
      </c>
      <c r="P3" s="13" t="n">
        <v>0.532755298651252</v>
      </c>
      <c r="Q3" s="13" t="n">
        <v>0.79504132231405</v>
      </c>
      <c r="R3" s="13" t="n">
        <v>0.782778864970646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46294</v>
      </c>
      <c r="E4" s="10" t="n">
        <v>46301</v>
      </c>
      <c r="F4" s="11" t="n">
        <v>96.16</v>
      </c>
      <c r="G4" s="11" t="n">
        <v>96.16</v>
      </c>
      <c r="H4" s="12" t="n">
        <f aca="false">G4/F4-1</f>
        <v>0</v>
      </c>
      <c r="I4" s="11" t="n">
        <v>81.6612777454611</v>
      </c>
      <c r="J4" s="11" t="n">
        <v>111.467598755538</v>
      </c>
      <c r="K4" s="11" t="n">
        <v>71.9439807920608</v>
      </c>
      <c r="L4" s="11" t="n">
        <v>120.755838263789</v>
      </c>
      <c r="M4" s="13" t="n">
        <v>0.533621517771374</v>
      </c>
      <c r="N4" s="14" t="n">
        <v>0.0460448071500925</v>
      </c>
      <c r="O4" s="15" t="n">
        <f aca="false">1-N4</f>
        <v>0.953955192849908</v>
      </c>
      <c r="P4" s="13" t="n">
        <v>0.699807877041307</v>
      </c>
      <c r="Q4" s="13" t="n">
        <v>0.800766283524904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46294</v>
      </c>
      <c r="E5" s="10" t="n">
        <v>46309</v>
      </c>
      <c r="F5" s="11" t="n">
        <v>96.16</v>
      </c>
      <c r="G5" s="11" t="n">
        <v>96.16</v>
      </c>
      <c r="H5" s="12" t="n">
        <f aca="false">G5/F5-1</f>
        <v>0</v>
      </c>
      <c r="I5" s="11" t="n">
        <v>75.0699471684979</v>
      </c>
      <c r="J5" s="11" t="n">
        <v>118.913581185951</v>
      </c>
      <c r="K5" s="11" t="n">
        <v>61.7165967921803</v>
      </c>
      <c r="L5" s="11" t="n">
        <v>137.361887920248</v>
      </c>
      <c r="M5" s="13" t="n">
        <v>0.554431599229287</v>
      </c>
      <c r="N5" s="14" t="n">
        <v>0.0686481172725877</v>
      </c>
      <c r="O5" s="15" t="n">
        <f aca="false">1-N5</f>
        <v>0.931351882727412</v>
      </c>
      <c r="P5" s="13" t="n">
        <v>0.533236994219653</v>
      </c>
      <c r="Q5" s="13" t="n">
        <v>0.808815426997245</v>
      </c>
      <c r="R5" s="13" t="n">
        <v>0.816046966731898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46294</v>
      </c>
      <c r="E6" s="10" t="n">
        <v>46301</v>
      </c>
      <c r="F6" s="11" t="n">
        <v>3.18</v>
      </c>
      <c r="G6" s="11" t="n">
        <v>3.18</v>
      </c>
      <c r="H6" s="12" t="n">
        <f aca="false">G6/F6-1</f>
        <v>0</v>
      </c>
      <c r="I6" s="11" t="n">
        <v>2.93620236295231</v>
      </c>
      <c r="J6" s="11" t="n">
        <v>3.45253627999264</v>
      </c>
      <c r="K6" s="11" t="n">
        <v>2.77341813168226</v>
      </c>
      <c r="L6" s="11" t="n">
        <v>3.6876889313504</v>
      </c>
      <c r="M6" s="13" t="n">
        <v>0.498559077809798</v>
      </c>
      <c r="N6" s="14" t="n">
        <v>0.109810270935332</v>
      </c>
      <c r="O6" s="15" t="n">
        <f aca="false">1-N6</f>
        <v>0.890189729064668</v>
      </c>
      <c r="P6" s="13" t="n">
        <v>0.420268972142171</v>
      </c>
      <c r="Q6" s="13" t="n">
        <v>0.813355227148331</v>
      </c>
      <c r="R6" s="13" t="n">
        <v>0.823984526112186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46294</v>
      </c>
      <c r="E7" s="10" t="n">
        <v>46309</v>
      </c>
      <c r="F7" s="11" t="n">
        <v>3.18</v>
      </c>
      <c r="G7" s="11" t="n">
        <v>2.90568233676871</v>
      </c>
      <c r="H7" s="12" t="n">
        <f aca="false">G7/F7-1</f>
        <v>-0.086263416110469</v>
      </c>
      <c r="I7" s="11" t="n">
        <v>2.612801127972</v>
      </c>
      <c r="J7" s="11" t="n">
        <v>3.32731346233915</v>
      </c>
      <c r="K7" s="11" t="n">
        <v>2.43344853542752</v>
      </c>
      <c r="L7" s="11" t="n">
        <v>3.66489343218475</v>
      </c>
      <c r="M7" s="13" t="n">
        <v>0.188824662813102</v>
      </c>
      <c r="N7" s="14" t="n">
        <v>0.141382398755638</v>
      </c>
      <c r="O7" s="15" t="n">
        <f aca="false">1-N7</f>
        <v>0.858617601244362</v>
      </c>
      <c r="P7" s="13" t="n">
        <v>0.271194605009634</v>
      </c>
      <c r="Q7" s="13" t="n">
        <v>0.81267217630854</v>
      </c>
      <c r="R7" s="13" t="n">
        <v>0.843444227005871</v>
      </c>
      <c r="S7" s="16" t="s">
        <v>34</v>
      </c>
    </row>
    <row r="9" customFormat="false" ht="15" hidden="false" customHeight="false" outlineLevel="0" collapsed="false">
      <c r="A9" s="7" t="s">
        <v>35</v>
      </c>
    </row>
    <row r="10" customFormat="false" ht="15" hidden="false" customHeight="false" outlineLevel="0" collapsed="false">
      <c r="A10" s="7" t="s">
        <v>36</v>
      </c>
    </row>
    <row r="11" customFormat="false" ht="15" hidden="false" customHeight="false" outlineLevel="0" collapsed="false">
      <c r="A11" s="7" t="s">
        <v>37</v>
      </c>
    </row>
    <row r="12" customFormat="false" ht="15" hidden="false" customHeight="false" outlineLevel="0" collapsed="false">
      <c r="A12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2026-10-01T07:11:00Z</dcterms:created>
  <dc:creator>openpyxl</dc:creator>
  <dc:description/>
  <dc:language>en-US</dc:language>
  <cp:lastModifiedBy/>
  <dcterms:modified xsi:type="dcterms:W3CDTF">2026-10-01T07:11:00Z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