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Details" sheetId="2" state="visible" r:id="rId4"/>
  </sheets>
  <definedNames>
    <definedName function="false" hidden="false" localSheetId="0" name="_xlnm.Print_Area" vbProcedure="false">Sheet1!$G$13:$K$23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<sst xmlns="http://schemas.openxmlformats.org/spreadsheetml/2006/main" count="54" uniqueCount="39">
  <si>
    <t xml:space="preserve">Crude oil Price forecast per bbl</t>
  </si>
  <si>
    <t xml:space="preserve">Parameter</t>
  </si>
  <si>
    <t xml:space="preserve">7 day</t>
  </si>
  <si>
    <t xml:space="preserve">% accuracy</t>
  </si>
  <si>
    <t xml:space="preserve">15 day</t>
  </si>
  <si>
    <t xml:space="preserve">Brent</t>
  </si>
  <si>
    <t xml:space="preserve">WTI</t>
  </si>
  <si>
    <t xml:space="preserve">Henry Hub ($/MMBtu)</t>
  </si>
  <si>
    <t xml:space="preserve">Forecast made on prices up to 2026-09-29; 7 day = 2026-10-06, 15 day = 2026-10-14.</t>
  </si>
  <si>
    <t xml:space="preserve">Prices in $/bbl except Henry Hub ($/MMBtu).</t>
  </si>
  <si>
    <t xml:space="preserve">% accuracy = 100% - average % error of the forecast in an 8-year out-of-sample backtest.</t>
  </si>
  <si>
    <t xml:space="preserve">Price ranges and probability of a rise: see the Details sheet.</t>
  </si>
  <si>
    <t xml:space="preserve">Market</t>
  </si>
  <si>
    <t xml:space="preserve">Unit</t>
  </si>
  <si>
    <t xml:space="preserve">Horizon (days)</t>
  </si>
  <si>
    <t xml:space="preserve">As of</t>
  </si>
  <si>
    <t xml:space="preserve">Target date</t>
  </si>
  <si>
    <t xml:space="preserve">Last price</t>
  </si>
  <si>
    <t xml:space="preserve">Forecast</t>
  </si>
  <si>
    <t xml:space="preserve">Change %</t>
  </si>
  <si>
    <t xml:space="preserve">80% low</t>
  </si>
  <si>
    <t xml:space="preserve">80% high</t>
  </si>
  <si>
    <t xml:space="preserve">95% low</t>
  </si>
  <si>
    <t xml:space="preserve">95% high</t>
  </si>
  <si>
    <t xml:space="preserve">P(rise)</t>
  </si>
  <si>
    <t xml:space="preserve">Backtest mean abs. error</t>
  </si>
  <si>
    <t xml:space="preserve">Within ±5%</t>
  </si>
  <si>
    <t xml:space="preserve">80% range hit rate</t>
  </si>
  <si>
    <t xml:space="preserve">80% range hit rate, last 2 yrs</t>
  </si>
  <si>
    <t xml:space="preserve">Model used</t>
  </si>
  <si>
    <t xml:space="preserve">$/bbl</t>
  </si>
  <si>
    <t xml:space="preserve">No-change (random walk)</t>
  </si>
  <si>
    <t xml:space="preserve">Henry Hub</t>
  </si>
  <si>
    <t xml:space="preserve">$/MMBtu</t>
  </si>
  <si>
    <t xml:space="preserve">Ridge regression</t>
  </si>
  <si>
    <t xml:space="preserve">Data: FRED / EIA APIs + EIA spot prices (github.com/datasets mirror). Blue = model output (python run_forecast.py); black = formula.</t>
  </si>
  <si>
    <t xml:space="preserve">% accuracy = 1 - backtest mean absolute % error of the forecast price (8-year walk-forward, out-of-sample).</t>
  </si>
  <si>
    <t xml:space="preserve">80%/95% range: the actual price is expected inside it 80%/95% of the time; '80% range hit rate' is how often that happened in the backtest.</t>
  </si>
  <si>
    <t xml:space="preserve">7 and 15 calendar days = 5 and 11 trading days after the as-of date.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</si>
</sst>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%"/>
    <numFmt numFmtId="167" formatCode="@"/>
    <numFmt numFmtId="168" formatCode="0"/>
    <numFmt numFmtId="169" formatCode="yyyy\-mm\-dd"/>
    <numFmt numFmtId="170" formatCode="\+0.0%;\-0.0%;0.0%"/>
    <numFmt numFmtId="171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ptos Narrow"/>
      <family val="0"/>
      <charset val="1"/>
    </font>
    <font>
      <b val="true"/>
      <sz val="12"/>
      <name val="Aptos Narrow"/>
      <family val="0"/>
      <charset val="1"/>
    </font>
    <font>
      <sz val="12"/>
      <name val="Aptos Narrow"/>
      <family val="0"/>
      <charset val="1"/>
    </font>
    <font>
      <sz val="12"/>
      <color rgb="FF008000"/>
      <name val="Aptos Narrow"/>
      <family val="0"/>
      <charset val="1"/>
    </font>
    <font>
      <i val="true"/>
      <sz val="10"/>
      <color rgb="FF595959"/>
      <name val="Aptos Narrow"/>
      <family val="0"/>
      <charset val="1"/>
    </font>
    <font>
      <sz val="12"/>
      <color rgb="FF0000FF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G13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7" min="7" style="0" width="22"/>
    <col collapsed="false" customWidth="true" hidden="false" outlineLevel="0" max="11" min="8" style="0" width="13"/>
  </cols>
  <sheetData>
    <row r="13" customFormat="false" ht="17.35" hidden="false" customHeight="false" outlineLevel="0" collapsed="false">
      <c r="H13" s="1" t="s">
        <v>0</v>
      </c>
    </row>
    <row r="15" customFormat="false" ht="15" hidden="false" customHeight="false" outlineLevel="0" collapsed="false">
      <c r="G15" s="2" t="s">
        <v>1</v>
      </c>
      <c r="H15" s="3" t="s">
        <v>2</v>
      </c>
      <c r="I15" s="3" t="s">
        <v>3</v>
      </c>
      <c r="J15" s="3" t="s">
        <v>4</v>
      </c>
      <c r="K15" s="3" t="s">
        <v>3</v>
      </c>
    </row>
    <row r="16" customFormat="false" ht="15" hidden="false" customHeight="false" outlineLevel="0" collapsed="false">
      <c r="G16" s="4" t="s">
        <v>5</v>
      </c>
      <c r="H16" s="5" t="n">
        <f aca="false">Details!G2</f>
        <v>113.96</v>
      </c>
      <c r="I16" s="6" t="n">
        <f aca="false">Details!O2</f>
        <v>0.953786854836146</v>
      </c>
      <c r="J16" s="5" t="n">
        <f aca="false">Details!G3</f>
        <v>113.96</v>
      </c>
      <c r="K16" s="6" t="n">
        <f aca="false">Details!O3</f>
        <v>0.931303370654639</v>
      </c>
    </row>
    <row r="17" customFormat="false" ht="15" hidden="false" customHeight="false" outlineLevel="0" collapsed="false">
      <c r="G17" s="4" t="s">
        <v>6</v>
      </c>
      <c r="H17" s="5" t="n">
        <f aca="false">Details!G4</f>
        <v>96.16</v>
      </c>
      <c r="I17" s="6" t="n">
        <f aca="false">Details!O4</f>
        <v>0.953955192849908</v>
      </c>
      <c r="J17" s="5" t="n">
        <f aca="false">Details!G5</f>
        <v>96.16</v>
      </c>
      <c r="K17" s="6" t="n">
        <f aca="false">Details!O5</f>
        <v>0.931351882727412</v>
      </c>
    </row>
    <row r="18" customFormat="false" ht="15" hidden="false" customHeight="false" outlineLevel="0" collapsed="false">
      <c r="G18" s="4" t="s">
        <v>7</v>
      </c>
      <c r="H18" s="5" t="n">
        <f aca="false">Details!G6</f>
        <v>3.18</v>
      </c>
      <c r="I18" s="6" t="n">
        <f aca="false">Details!O6</f>
        <v>0.890189729064668</v>
      </c>
      <c r="J18" s="5" t="n">
        <f aca="false">Details!G7</f>
        <v>2.94098375147124</v>
      </c>
      <c r="K18" s="6" t="n">
        <f aca="false">Details!O7</f>
        <v>0.858617601244362</v>
      </c>
    </row>
    <row r="20" customFormat="false" ht="15" hidden="false" customHeight="false" outlineLevel="0" collapsed="false">
      <c r="G20" s="7" t="s">
        <v>8</v>
      </c>
    </row>
    <row r="21" customFormat="false" ht="15" hidden="false" customHeight="false" outlineLevel="0" collapsed="false">
      <c r="G21" s="7" t="s">
        <v>9</v>
      </c>
    </row>
    <row r="22" customFormat="false" ht="15" hidden="false" customHeight="false" outlineLevel="0" collapsed="false">
      <c r="G22" s="7" t="s">
        <v>10</v>
      </c>
    </row>
    <row r="23" customFormat="false" ht="15" hidden="false" customHeight="false" outlineLevel="0" collapsed="false">
      <c r="G23" s="7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5" min="4" style="0" width="11"/>
    <col collapsed="false" customWidth="true" hidden="false" outlineLevel="0" max="7" min="6" style="0" width="10"/>
    <col collapsed="false" customWidth="true" hidden="false" outlineLevel="0" max="12" min="8" style="0" width="9"/>
    <col collapsed="false" customWidth="true" hidden="false" outlineLevel="0" max="13" min="13" style="0" width="8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11"/>
    <col collapsed="false" customWidth="true" hidden="false" outlineLevel="0" max="19" min="19" style="0" width="22"/>
  </cols>
  <sheetData>
    <row r="1" customFormat="false" ht="45" hidden="false" customHeight="true" outlineLevel="0" collapsed="false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3</v>
      </c>
      <c r="P1" s="3" t="s">
        <v>26</v>
      </c>
      <c r="Q1" s="3" t="s">
        <v>27</v>
      </c>
      <c r="R1" s="3" t="s">
        <v>28</v>
      </c>
      <c r="S1" s="3" t="s">
        <v>29</v>
      </c>
    </row>
    <row r="2" customFormat="false" ht="15" hidden="false" customHeight="false" outlineLevel="0" collapsed="false">
      <c r="A2" s="8" t="s">
        <v>5</v>
      </c>
      <c r="B2" s="8" t="s">
        <v>30</v>
      </c>
      <c r="C2" s="9" t="n">
        <v>7</v>
      </c>
      <c r="D2" s="10" t="n">
        <v>46294</v>
      </c>
      <c r="E2" s="10" t="n">
        <v>46301</v>
      </c>
      <c r="F2" s="11" t="n">
        <v>113.96</v>
      </c>
      <c r="G2" s="11" t="n">
        <v>113.96</v>
      </c>
      <c r="H2" s="12" t="n">
        <f aca="false">G2/F2-1</f>
        <v>0</v>
      </c>
      <c r="I2" s="11" t="n">
        <v>101.310591844289</v>
      </c>
      <c r="J2" s="11" t="n">
        <v>127.162412166814</v>
      </c>
      <c r="K2" s="11" t="n">
        <v>92.6621810155294</v>
      </c>
      <c r="L2" s="11" t="n">
        <v>135.740061198172</v>
      </c>
      <c r="M2" s="13" t="n">
        <v>0.529298751200769</v>
      </c>
      <c r="N2" s="14" t="n">
        <v>0.0462131451638539</v>
      </c>
      <c r="O2" s="15" t="n">
        <f aca="false">1-N2</f>
        <v>0.953786854836146</v>
      </c>
      <c r="P2" s="13" t="n">
        <v>0.6940441882805</v>
      </c>
      <c r="Q2" s="13" t="n">
        <v>0.787082649151615</v>
      </c>
      <c r="R2" s="13" t="n">
        <v>0.789168278529981</v>
      </c>
      <c r="S2" s="16" t="s">
        <v>31</v>
      </c>
    </row>
    <row r="3" customFormat="false" ht="15" hidden="false" customHeight="false" outlineLevel="0" collapsed="false">
      <c r="A3" s="8" t="s">
        <v>5</v>
      </c>
      <c r="B3" s="8" t="s">
        <v>30</v>
      </c>
      <c r="C3" s="9" t="n">
        <v>15</v>
      </c>
      <c r="D3" s="10" t="n">
        <v>46294</v>
      </c>
      <c r="E3" s="10" t="n">
        <v>46309</v>
      </c>
      <c r="F3" s="11" t="n">
        <v>113.96</v>
      </c>
      <c r="G3" s="11" t="n">
        <v>113.96</v>
      </c>
      <c r="H3" s="12" t="n">
        <f aca="false">G3/F3-1</f>
        <v>0</v>
      </c>
      <c r="I3" s="11" t="n">
        <v>95.0079482512934</v>
      </c>
      <c r="J3" s="11" t="n">
        <v>134.315553698809</v>
      </c>
      <c r="K3" s="11" t="n">
        <v>82.3636392706945</v>
      </c>
      <c r="L3" s="11" t="n">
        <v>151.436937648117</v>
      </c>
      <c r="M3" s="13" t="n">
        <v>0.548169556840077</v>
      </c>
      <c r="N3" s="14" t="n">
        <v>0.0686966293453611</v>
      </c>
      <c r="O3" s="15" t="n">
        <f aca="false">1-N3</f>
        <v>0.931303370654639</v>
      </c>
      <c r="P3" s="13" t="n">
        <v>0.532755298651252</v>
      </c>
      <c r="Q3" s="13" t="n">
        <v>0.79504132231405</v>
      </c>
      <c r="R3" s="13" t="n">
        <v>0.782778864970646</v>
      </c>
      <c r="S3" s="16" t="s">
        <v>31</v>
      </c>
    </row>
    <row r="4" customFormat="false" ht="15" hidden="false" customHeight="false" outlineLevel="0" collapsed="false">
      <c r="A4" s="8" t="s">
        <v>6</v>
      </c>
      <c r="B4" s="8" t="s">
        <v>30</v>
      </c>
      <c r="C4" s="9" t="n">
        <v>7</v>
      </c>
      <c r="D4" s="10" t="n">
        <v>46294</v>
      </c>
      <c r="E4" s="10" t="n">
        <v>46301</v>
      </c>
      <c r="F4" s="11" t="n">
        <v>96.16</v>
      </c>
      <c r="G4" s="11" t="n">
        <v>96.16</v>
      </c>
      <c r="H4" s="12" t="n">
        <f aca="false">G4/F4-1</f>
        <v>0</v>
      </c>
      <c r="I4" s="11" t="n">
        <v>81.6612777454611</v>
      </c>
      <c r="J4" s="11" t="n">
        <v>111.467598755538</v>
      </c>
      <c r="K4" s="11" t="n">
        <v>71.9439807920608</v>
      </c>
      <c r="L4" s="11" t="n">
        <v>120.755838263789</v>
      </c>
      <c r="M4" s="13" t="n">
        <v>0.533621517771374</v>
      </c>
      <c r="N4" s="14" t="n">
        <v>0.0460448071500925</v>
      </c>
      <c r="O4" s="15" t="n">
        <f aca="false">1-N4</f>
        <v>0.953955192849908</v>
      </c>
      <c r="P4" s="13" t="n">
        <v>0.699807877041307</v>
      </c>
      <c r="Q4" s="13" t="n">
        <v>0.800766283524904</v>
      </c>
      <c r="R4" s="13" t="n">
        <v>0.806576402321083</v>
      </c>
      <c r="S4" s="16" t="s">
        <v>31</v>
      </c>
    </row>
    <row r="5" customFormat="false" ht="15" hidden="false" customHeight="false" outlineLevel="0" collapsed="false">
      <c r="A5" s="8" t="s">
        <v>6</v>
      </c>
      <c r="B5" s="8" t="s">
        <v>30</v>
      </c>
      <c r="C5" s="9" t="n">
        <v>15</v>
      </c>
      <c r="D5" s="10" t="n">
        <v>46294</v>
      </c>
      <c r="E5" s="10" t="n">
        <v>46309</v>
      </c>
      <c r="F5" s="11" t="n">
        <v>96.16</v>
      </c>
      <c r="G5" s="11" t="n">
        <v>96.16</v>
      </c>
      <c r="H5" s="12" t="n">
        <f aca="false">G5/F5-1</f>
        <v>0</v>
      </c>
      <c r="I5" s="11" t="n">
        <v>75.0699471684979</v>
      </c>
      <c r="J5" s="11" t="n">
        <v>118.913581185951</v>
      </c>
      <c r="K5" s="11" t="n">
        <v>61.7165967921803</v>
      </c>
      <c r="L5" s="11" t="n">
        <v>137.361887920248</v>
      </c>
      <c r="M5" s="13" t="n">
        <v>0.554431599229287</v>
      </c>
      <c r="N5" s="14" t="n">
        <v>0.0686481172725877</v>
      </c>
      <c r="O5" s="15" t="n">
        <f aca="false">1-N5</f>
        <v>0.931351882727412</v>
      </c>
      <c r="P5" s="13" t="n">
        <v>0.533236994219653</v>
      </c>
      <c r="Q5" s="13" t="n">
        <v>0.808815426997245</v>
      </c>
      <c r="R5" s="13" t="n">
        <v>0.816046966731898</v>
      </c>
      <c r="S5" s="16" t="s">
        <v>31</v>
      </c>
    </row>
    <row r="6" customFormat="false" ht="15" hidden="false" customHeight="false" outlineLevel="0" collapsed="false">
      <c r="A6" s="8" t="s">
        <v>32</v>
      </c>
      <c r="B6" s="8" t="s">
        <v>33</v>
      </c>
      <c r="C6" s="9" t="n">
        <v>7</v>
      </c>
      <c r="D6" s="10" t="n">
        <v>46294</v>
      </c>
      <c r="E6" s="10" t="n">
        <v>46301</v>
      </c>
      <c r="F6" s="11" t="n">
        <v>3.18</v>
      </c>
      <c r="G6" s="11" t="n">
        <v>3.18</v>
      </c>
      <c r="H6" s="12" t="n">
        <f aca="false">G6/F6-1</f>
        <v>0</v>
      </c>
      <c r="I6" s="11" t="n">
        <v>2.93620236295231</v>
      </c>
      <c r="J6" s="11" t="n">
        <v>3.45253627999264</v>
      </c>
      <c r="K6" s="11" t="n">
        <v>2.77341813168226</v>
      </c>
      <c r="L6" s="11" t="n">
        <v>3.6876889313504</v>
      </c>
      <c r="M6" s="13" t="n">
        <v>0.498559077809798</v>
      </c>
      <c r="N6" s="14" t="n">
        <v>0.109810270935332</v>
      </c>
      <c r="O6" s="15" t="n">
        <f aca="false">1-N6</f>
        <v>0.890189729064668</v>
      </c>
      <c r="P6" s="13" t="n">
        <v>0.420268972142171</v>
      </c>
      <c r="Q6" s="13" t="n">
        <v>0.813355227148331</v>
      </c>
      <c r="R6" s="13" t="n">
        <v>0.823984526112186</v>
      </c>
      <c r="S6" s="16" t="s">
        <v>31</v>
      </c>
    </row>
    <row r="7" customFormat="false" ht="15" hidden="false" customHeight="false" outlineLevel="0" collapsed="false">
      <c r="A7" s="8" t="s">
        <v>32</v>
      </c>
      <c r="B7" s="8" t="s">
        <v>33</v>
      </c>
      <c r="C7" s="9" t="n">
        <v>15</v>
      </c>
      <c r="D7" s="10" t="n">
        <v>46294</v>
      </c>
      <c r="E7" s="10" t="n">
        <v>46309</v>
      </c>
      <c r="F7" s="11" t="n">
        <v>3.18</v>
      </c>
      <c r="G7" s="11" t="n">
        <v>2.94098375147124</v>
      </c>
      <c r="H7" s="12" t="n">
        <f aca="false">G7/F7-1</f>
        <v>-0.0751623423046423</v>
      </c>
      <c r="I7" s="11" t="n">
        <v>2.64454430064666</v>
      </c>
      <c r="J7" s="11" t="n">
        <v>3.36773731421484</v>
      </c>
      <c r="K7" s="11" t="n">
        <v>2.46301273617285</v>
      </c>
      <c r="L7" s="11" t="n">
        <v>3.70941857564348</v>
      </c>
      <c r="M7" s="13" t="n">
        <v>0.222061657032755</v>
      </c>
      <c r="N7" s="14" t="n">
        <v>0.141382398755638</v>
      </c>
      <c r="O7" s="15" t="n">
        <f aca="false">1-N7</f>
        <v>0.858617601244362</v>
      </c>
      <c r="P7" s="13" t="n">
        <v>0.271194605009634</v>
      </c>
      <c r="Q7" s="13" t="n">
        <v>0.81267217630854</v>
      </c>
      <c r="R7" s="13" t="n">
        <v>0.843444227005871</v>
      </c>
      <c r="S7" s="16" t="s">
        <v>34</v>
      </c>
    </row>
    <row r="9" customFormat="false" ht="15" hidden="false" customHeight="false" outlineLevel="0" collapsed="false">
      <c r="A9" s="7" t="s">
        <v>35</v>
      </c>
    </row>
    <row r="10" customFormat="false" ht="15" hidden="false" customHeight="false" outlineLevel="0" collapsed="false">
      <c r="A10" s="7" t="s">
        <v>36</v>
      </c>
    </row>
    <row r="11" customFormat="false" ht="15" hidden="false" customHeight="false" outlineLevel="0" collapsed="false">
      <c r="A11" s="7" t="s">
        <v>37</v>
      </c>
    </row>
    <row r="12" customFormat="false" ht="15" hidden="false" customHeight="false" outlineLevel="0" collapsed="false">
      <c r="A12" s="7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2026-10-06T07:32:05Z</dcterms:created>
  <dc:creator>openpyxl</dc:creator>
  <dc:description/>
  <dc:language>en-US</dc:language>
  <cp:lastModifiedBy/>
  <dcterms:modified xsi:type="dcterms:W3CDTF">2026-10-06T07:32:05Z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