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<sst xmlns="http://schemas.openxmlformats.org/spreadsheetml/2006/main" count="54" uniqueCount="38">
  <si>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</si>
  <si>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</si>
  <si>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</si>
  <si>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</si>
  <si>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</si>
  <si>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</si>
  <si>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</si>
  <si>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</si>
  <si>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2026-10-20; 7 day = 2026-10-27, 15 day = 2026-11-04.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</si>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</sst>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115.22</v>
      </c>
      <c r="I16" s="6" t="n">
        <f aca="false">Details!O2</f>
        <v>0.953555293492327</v>
      </c>
      <c r="J16" s="5" t="n">
        <f aca="false">Details!G3</f>
        <v>115.22</v>
      </c>
      <c r="K16" s="6" t="n">
        <f aca="false">Details!O3</f>
        <v>0.931226967224115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107.89</v>
      </c>
      <c r="I17" s="6" t="n">
        <f aca="false">Details!O4</f>
        <v>0.953872727483083</v>
      </c>
      <c r="J17" s="5" t="n">
        <f aca="false">Details!G5</f>
        <v>107.89</v>
      </c>
      <c r="K17" s="6" t="n">
        <f aca="false">Details!O5</f>
        <v>0.931561064272199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3.1</v>
      </c>
      <c r="I18" s="6" t="n">
        <f aca="false">Details!O6</f>
        <v>0.890135513243169</v>
      </c>
      <c r="J18" s="5" t="n">
        <f aca="false">Details!G7</f>
        <v>3.1</v>
      </c>
      <c r="K18" s="6" t="n">
        <f aca="false">Details!O7</f>
        <v>0.846642277960824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46315</v>
      </c>
      <c r="E2" s="10" t="n">
        <v>46322</v>
      </c>
      <c r="F2" s="11" t="n">
        <v>115.22</v>
      </c>
      <c r="G2" s="11" t="n">
        <v>115.22</v>
      </c>
      <c r="H2" s="12" t="n">
        <f aca="false">G2/F2-1</f>
        <v>0</v>
      </c>
      <c r="I2" s="11" t="n">
        <v>101.308872623481</v>
      </c>
      <c r="J2" s="11" t="n">
        <v>130.171709702822</v>
      </c>
      <c r="K2" s="11" t="n">
        <v>91.6669081069355</v>
      </c>
      <c r="L2" s="11" t="n">
        <v>139.792901681923</v>
      </c>
      <c r="M2" s="13" t="n">
        <v>0.53314121037464</v>
      </c>
      <c r="N2" s="14" t="n">
        <v>0.046444706507673</v>
      </c>
      <c r="O2" s="15" t="n">
        <f aca="false">1-N2</f>
        <v>0.953555293492327</v>
      </c>
      <c r="P2" s="13" t="n">
        <v>0.69164265129683</v>
      </c>
      <c r="Q2" s="13" t="n">
        <v>0.784345922276957</v>
      </c>
      <c r="R2" s="13" t="n">
        <v>0.789168278529981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46315</v>
      </c>
      <c r="E3" s="10" t="n">
        <v>46330</v>
      </c>
      <c r="F3" s="11" t="n">
        <v>115.22</v>
      </c>
      <c r="G3" s="11" t="n">
        <v>115.22</v>
      </c>
      <c r="H3" s="12" t="n">
        <f aca="false">G3/F3-1</f>
        <v>0</v>
      </c>
      <c r="I3" s="11" t="n">
        <v>94.8479044038997</v>
      </c>
      <c r="J3" s="11" t="n">
        <v>138.17221400397</v>
      </c>
      <c r="K3" s="11" t="n">
        <v>80.7498111838232</v>
      </c>
      <c r="L3" s="11" t="n">
        <v>157.766705422609</v>
      </c>
      <c r="M3" s="13" t="n">
        <v>0.553468208092486</v>
      </c>
      <c r="N3" s="14" t="n">
        <v>0.0687730327758854</v>
      </c>
      <c r="O3" s="15" t="n">
        <f aca="false">1-N3</f>
        <v>0.931226967224115</v>
      </c>
      <c r="P3" s="13" t="n">
        <v>0.533718689788054</v>
      </c>
      <c r="Q3" s="13" t="n">
        <v>0.788980716253444</v>
      </c>
      <c r="R3" s="13" t="n">
        <v>0.772994129158513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46315</v>
      </c>
      <c r="E4" s="10" t="n">
        <v>46322</v>
      </c>
      <c r="F4" s="11" t="n">
        <v>107.89</v>
      </c>
      <c r="G4" s="11" t="n">
        <v>107.89</v>
      </c>
      <c r="H4" s="12" t="n">
        <f aca="false">G4/F4-1</f>
        <v>0</v>
      </c>
      <c r="I4" s="11" t="n">
        <v>95.4250684796895</v>
      </c>
      <c r="J4" s="11" t="n">
        <v>120.70865748815</v>
      </c>
      <c r="K4" s="11" t="n">
        <v>86.710635653351</v>
      </c>
      <c r="L4" s="11" t="n">
        <v>128.081793069465</v>
      </c>
      <c r="M4" s="13" t="n">
        <v>0.538424591738713</v>
      </c>
      <c r="N4" s="14" t="n">
        <v>0.0461272725169175</v>
      </c>
      <c r="O4" s="15" t="n">
        <f aca="false">1-N4</f>
        <v>0.953872727483083</v>
      </c>
      <c r="P4" s="13" t="n">
        <v>0.698366954851105</v>
      </c>
      <c r="Q4" s="13" t="n">
        <v>0.799671592775041</v>
      </c>
      <c r="R4" s="13" t="n">
        <v>0.806576402321083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46315</v>
      </c>
      <c r="E5" s="10" t="n">
        <v>46330</v>
      </c>
      <c r="F5" s="11" t="n">
        <v>107.89</v>
      </c>
      <c r="G5" s="11" t="n">
        <v>107.89</v>
      </c>
      <c r="H5" s="12" t="n">
        <f aca="false">G5/F5-1</f>
        <v>0</v>
      </c>
      <c r="I5" s="11" t="n">
        <v>90.2883445378342</v>
      </c>
      <c r="J5" s="11" t="n">
        <v>126.607148094806</v>
      </c>
      <c r="K5" s="11" t="n">
        <v>77.2523905273769</v>
      </c>
      <c r="L5" s="11" t="n">
        <v>141.135917535299</v>
      </c>
      <c r="M5" s="13" t="n">
        <v>0.558285163776493</v>
      </c>
      <c r="N5" s="14" t="n">
        <v>0.0684389357278012</v>
      </c>
      <c r="O5" s="15" t="n">
        <f aca="false">1-N5</f>
        <v>0.931561064272199</v>
      </c>
      <c r="P5" s="13" t="n">
        <v>0.536127167630058</v>
      </c>
      <c r="Q5" s="13" t="n">
        <v>0.806060606060606</v>
      </c>
      <c r="R5" s="13" t="n">
        <v>0.814090019569472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46315</v>
      </c>
      <c r="E6" s="10" t="n">
        <v>46322</v>
      </c>
      <c r="F6" s="11" t="n">
        <v>3.1</v>
      </c>
      <c r="G6" s="11" t="n">
        <v>3.1</v>
      </c>
      <c r="H6" s="12" t="n">
        <f aca="false">G6/F6-1</f>
        <v>0</v>
      </c>
      <c r="I6" s="11" t="n">
        <v>2.86517013121415</v>
      </c>
      <c r="J6" s="11" t="n">
        <v>3.35983858732731</v>
      </c>
      <c r="K6" s="11" t="n">
        <v>2.70824005693516</v>
      </c>
      <c r="L6" s="11" t="n">
        <v>3.58831554209777</v>
      </c>
      <c r="M6" s="13" t="n">
        <v>0.498559077809798</v>
      </c>
      <c r="N6" s="14" t="n">
        <v>0.109864486756831</v>
      </c>
      <c r="O6" s="15" t="n">
        <f aca="false">1-N6</f>
        <v>0.890135513243169</v>
      </c>
      <c r="P6" s="13" t="n">
        <v>0.419308357348703</v>
      </c>
      <c r="Q6" s="13" t="n">
        <v>0.812807881773399</v>
      </c>
      <c r="R6" s="13" t="n">
        <v>0.831721470019342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46315</v>
      </c>
      <c r="E7" s="10" t="n">
        <v>46330</v>
      </c>
      <c r="F7" s="11" t="n">
        <v>3.1</v>
      </c>
      <c r="G7" s="11" t="n">
        <v>3.1</v>
      </c>
      <c r="H7" s="12" t="n">
        <f aca="false">G7/F7-1</f>
        <v>0</v>
      </c>
      <c r="I7" s="11" t="n">
        <v>2.78695615251733</v>
      </c>
      <c r="J7" s="11" t="n">
        <v>3.47125014587866</v>
      </c>
      <c r="K7" s="11" t="n">
        <v>2.5857234814732</v>
      </c>
      <c r="L7" s="11" t="n">
        <v>3.8125221071032</v>
      </c>
      <c r="M7" s="13" t="n">
        <v>0.48747591522158</v>
      </c>
      <c r="N7" s="14" t="n">
        <v>0.153357722039176</v>
      </c>
      <c r="O7" s="15" t="n">
        <f aca="false">1-N7</f>
        <v>0.846642277960824</v>
      </c>
      <c r="P7" s="13" t="n">
        <v>0.293352601156069</v>
      </c>
      <c r="Q7" s="13" t="n">
        <v>0.821487603305785</v>
      </c>
      <c r="R7" s="13" t="n">
        <v>0.827788649706458</v>
      </c>
      <c r="S7" s="16" t="s">
        <v>31</v>
      </c>
    </row>
    <row r="9" customFormat="false" ht="15" hidden="false" customHeight="false" outlineLevel="0" collapsed="false">
      <c r="A9" s="7" t="s">
        <v>34</v>
      </c>
    </row>
    <row r="10" customFormat="false" ht="15" hidden="false" customHeight="false" outlineLevel="0" collapsed="false">
      <c r="A10" s="7" t="s">
        <v>35</v>
      </c>
    </row>
    <row r="11" customFormat="false" ht="15" hidden="false" customHeight="false" outlineLevel="0" collapsed="false">
      <c r="A11" s="7" t="s">
        <v>36</v>
      </c>
    </row>
    <row r="12" customFormat="false" ht="15" hidden="false" customHeight="false" outlineLevel="0" collapsed="false">
      <c r="A12" s="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2026-10-26T06:07:57Z</dcterms:created>
  <dc:creator>openpyxl</dc:creator>
  <dc:description/>
  <dc:language>en-US</dc:language>
  <cp:lastModifiedBy/>
  <dcterms:modified xsi:type="dcterms:W3CDTF">2026-10-26T06:07:57Z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