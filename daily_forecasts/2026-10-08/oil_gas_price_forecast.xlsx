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<sst xmlns="http://schemas.openxmlformats.org/spreadsheetml/2006/main" count="54" uniqueCount="39">
  <si>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</si>
  <si>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</si>
  <si>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</si>
  <si>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</si>
  <si>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</si>
  <si>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</si>
  <si>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</si>
  <si>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</si>
  <si>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2026-10-06; 7 day = 2026-10-13, 15 day = 2026-10-21.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</si>
  <si>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</si>
  <si>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</si>
  <si>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</si>
  <si>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</si>
  <si>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</si>
  <si>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</si>
  <si>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</si>
  <si>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</si>
  <si>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</si>
  <si>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</si>
  <si>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</si>
  <si>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</si>
  <si>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</si>
  <si>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</si>
  <si>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</si>
  <si>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</si>
  <si>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</si>
  <si>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</si>
  <si>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</si>
  <si>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</si>
  <si>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</si>
  <si>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</si>
  <si>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</si>
  <si>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</si>
  <si>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</si>
  <si>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Ridge regression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</si>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</sst>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125.44</v>
      </c>
      <c r="I16" s="6" t="n">
        <f aca="false">Details!O2</f>
        <v>0.953690891374132</v>
      </c>
      <c r="J16" s="5" t="n">
        <f aca="false">Details!G3</f>
        <v>125.44</v>
      </c>
      <c r="K16" s="6" t="n">
        <f aca="false">Details!O3</f>
        <v>0.931231617303026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96.24</v>
      </c>
      <c r="I17" s="6" t="n">
        <f aca="false">Details!O4</f>
        <v>0.953911226105119</v>
      </c>
      <c r="J17" s="5" t="n">
        <f aca="false">Details!G5</f>
        <v>96.24</v>
      </c>
      <c r="K17" s="6" t="n">
        <f aca="false">Details!O5</f>
        <v>0.931415532709249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3.03</v>
      </c>
      <c r="I18" s="6" t="n">
        <f aca="false">Details!O6</f>
        <v>0.890209800812561</v>
      </c>
      <c r="J18" s="5" t="n">
        <f aca="false">Details!G7</f>
        <v>2.79722669571061</v>
      </c>
      <c r="K18" s="6" t="n">
        <f aca="false">Details!O7</f>
        <v>0.859254293282624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46301</v>
      </c>
      <c r="E2" s="10" t="n">
        <v>46308</v>
      </c>
      <c r="F2" s="11" t="n">
        <v>125.44</v>
      </c>
      <c r="G2" s="11" t="n">
        <v>125.44</v>
      </c>
      <c r="H2" s="12" t="n">
        <f aca="false">G2/F2-1</f>
        <v>0</v>
      </c>
      <c r="I2" s="11" t="n">
        <v>106.291463394673</v>
      </c>
      <c r="J2" s="11" t="n">
        <v>146.555044434495</v>
      </c>
      <c r="K2" s="11" t="n">
        <v>93.6750738927436</v>
      </c>
      <c r="L2" s="11" t="n">
        <v>160.560213427967</v>
      </c>
      <c r="M2" s="13" t="n">
        <v>0.53073967339097</v>
      </c>
      <c r="N2" s="14" t="n">
        <v>0.0463091086258684</v>
      </c>
      <c r="O2" s="15" t="n">
        <f aca="false">1-N2</f>
        <v>0.953690891374132</v>
      </c>
      <c r="P2" s="13" t="n">
        <v>0.693563880883766</v>
      </c>
      <c r="Q2" s="13" t="n">
        <v>0.78544061302682</v>
      </c>
      <c r="R2" s="13" t="n">
        <v>0.79110251450677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46301</v>
      </c>
      <c r="E3" s="10" t="n">
        <v>46316</v>
      </c>
      <c r="F3" s="11" t="n">
        <v>125.44</v>
      </c>
      <c r="G3" s="11" t="n">
        <v>125.44</v>
      </c>
      <c r="H3" s="12" t="n">
        <f aca="false">G3/F3-1</f>
        <v>0</v>
      </c>
      <c r="I3" s="11" t="n">
        <v>97.0936649645044</v>
      </c>
      <c r="J3" s="11" t="n">
        <v>158.187218141549</v>
      </c>
      <c r="K3" s="11" t="n">
        <v>79.3246556537947</v>
      </c>
      <c r="L3" s="11" t="n">
        <v>187.375085641985</v>
      </c>
      <c r="M3" s="13" t="n">
        <v>0.549614643545279</v>
      </c>
      <c r="N3" s="14" t="n">
        <v>0.068768382696974</v>
      </c>
      <c r="O3" s="15" t="n">
        <f aca="false">1-N3</f>
        <v>0.931231617303026</v>
      </c>
      <c r="P3" s="13" t="n">
        <v>0.533236994219653</v>
      </c>
      <c r="Q3" s="13" t="n">
        <v>0.796143250688705</v>
      </c>
      <c r="R3" s="13" t="n">
        <v>0.782778864970646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46301</v>
      </c>
      <c r="E4" s="10" t="n">
        <v>46308</v>
      </c>
      <c r="F4" s="11" t="n">
        <v>96.24</v>
      </c>
      <c r="G4" s="11" t="n">
        <v>96.24</v>
      </c>
      <c r="H4" s="12" t="n">
        <f aca="false">G4/F4-1</f>
        <v>0</v>
      </c>
      <c r="I4" s="11" t="n">
        <v>83.6557998104468</v>
      </c>
      <c r="J4" s="11" t="n">
        <v>109.280147786715</v>
      </c>
      <c r="K4" s="11" t="n">
        <v>75.0444002198064</v>
      </c>
      <c r="L4" s="11" t="n">
        <v>116.995208906954</v>
      </c>
      <c r="M4" s="13" t="n">
        <v>0.535542747358309</v>
      </c>
      <c r="N4" s="14" t="n">
        <v>0.046088773894881</v>
      </c>
      <c r="O4" s="15" t="n">
        <f aca="false">1-N4</f>
        <v>0.953911226105119</v>
      </c>
      <c r="P4" s="13" t="n">
        <v>0.699327569644573</v>
      </c>
      <c r="Q4" s="13" t="n">
        <v>0.801860974274767</v>
      </c>
      <c r="R4" s="13" t="n">
        <v>0.808510638297872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46301</v>
      </c>
      <c r="E5" s="10" t="n">
        <v>46316</v>
      </c>
      <c r="F5" s="11" t="n">
        <v>96.24</v>
      </c>
      <c r="G5" s="11" t="n">
        <v>96.24</v>
      </c>
      <c r="H5" s="12" t="n">
        <f aca="false">G5/F5-1</f>
        <v>0</v>
      </c>
      <c r="I5" s="11" t="n">
        <v>77.9361598488761</v>
      </c>
      <c r="J5" s="11" t="n">
        <v>115.463104849543</v>
      </c>
      <c r="K5" s="11" t="n">
        <v>65.7989979223051</v>
      </c>
      <c r="L5" s="11" t="n">
        <v>130.661835448597</v>
      </c>
      <c r="M5" s="13" t="n">
        <v>0.554431599229287</v>
      </c>
      <c r="N5" s="14" t="n">
        <v>0.0685844672907508</v>
      </c>
      <c r="O5" s="15" t="n">
        <f aca="false">1-N5</f>
        <v>0.931415532709249</v>
      </c>
      <c r="P5" s="13" t="n">
        <v>0.533718689788054</v>
      </c>
      <c r="Q5" s="13" t="n">
        <v>0.808815426997245</v>
      </c>
      <c r="R5" s="13" t="n">
        <v>0.816046966731898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46301</v>
      </c>
      <c r="E6" s="10" t="n">
        <v>46308</v>
      </c>
      <c r="F6" s="11" t="n">
        <v>3.03</v>
      </c>
      <c r="G6" s="11" t="n">
        <v>3.03</v>
      </c>
      <c r="H6" s="12" t="n">
        <f aca="false">G6/F6-1</f>
        <v>0</v>
      </c>
      <c r="I6" s="11" t="n">
        <v>2.80160460799405</v>
      </c>
      <c r="J6" s="11" t="n">
        <v>3.28261561527103</v>
      </c>
      <c r="K6" s="11" t="n">
        <v>2.64892141449828</v>
      </c>
      <c r="L6" s="11" t="n">
        <v>3.50465826646317</v>
      </c>
      <c r="M6" s="13" t="n">
        <v>0.497118155619597</v>
      </c>
      <c r="N6" s="14" t="n">
        <v>0.109790199187439</v>
      </c>
      <c r="O6" s="15" t="n">
        <f aca="false">1-N6</f>
        <v>0.890209800812561</v>
      </c>
      <c r="P6" s="13" t="n">
        <v>0.420749279538905</v>
      </c>
      <c r="Q6" s="13" t="n">
        <v>0.80952380952381</v>
      </c>
      <c r="R6" s="13" t="n">
        <v>0.823984526112186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46301</v>
      </c>
      <c r="E7" s="10" t="n">
        <v>46316</v>
      </c>
      <c r="F7" s="11" t="n">
        <v>3.03</v>
      </c>
      <c r="G7" s="11" t="n">
        <v>2.79722669571061</v>
      </c>
      <c r="H7" s="12" t="n">
        <f aca="false">G7/F7-1</f>
        <v>-0.0768228727027699</v>
      </c>
      <c r="I7" s="11" t="n">
        <v>2.52021483771038</v>
      </c>
      <c r="J7" s="11" t="n">
        <v>3.19134968337202</v>
      </c>
      <c r="K7" s="11" t="n">
        <v>2.35227328376466</v>
      </c>
      <c r="L7" s="11" t="n">
        <v>3.51295988955555</v>
      </c>
      <c r="M7" s="13" t="n">
        <v>0.219653179190751</v>
      </c>
      <c r="N7" s="14" t="n">
        <v>0.140745706717376</v>
      </c>
      <c r="O7" s="15" t="n">
        <f aca="false">1-N7</f>
        <v>0.859254293282624</v>
      </c>
      <c r="P7" s="13" t="n">
        <v>0.276011560693642</v>
      </c>
      <c r="Q7" s="13" t="n">
        <v>0.809366391184573</v>
      </c>
      <c r="R7" s="13" t="n">
        <v>0.841487279843444</v>
      </c>
      <c r="S7" s="16" t="s">
        <v>34</v>
      </c>
    </row>
    <row r="9" customFormat="false" ht="15" hidden="false" customHeight="false" outlineLevel="0" collapsed="false">
      <c r="A9" s="7" t="s">
        <v>35</v>
      </c>
    </row>
    <row r="10" customFormat="false" ht="15" hidden="false" customHeight="false" outlineLevel="0" collapsed="false">
      <c r="A10" s="7" t="s">
        <v>36</v>
      </c>
    </row>
    <row r="11" customFormat="false" ht="15" hidden="false" customHeight="false" outlineLevel="0" collapsed="false">
      <c r="A11" s="7" t="s">
        <v>37</v>
      </c>
    </row>
    <row r="12" customFormat="false" ht="15" hidden="false" customHeight="false" outlineLevel="0" collapsed="false">
      <c r="A12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2026-10-08T07:20:14Z</dcterms:created>
  <dc:creator>openpyxl</dc:creator>
  <dc:description/>
  <dc:language>en-US</dc:language>
  <cp:lastModifiedBy/>
  <dcterms:modified xsi:type="dcterms:W3CDTF">2026-10-08T07:20:14Z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