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<sst xmlns="http://schemas.openxmlformats.org/spreadsheetml/2006/main" count="54" uniqueCount="38">
  <si>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</si>
  <si>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</si>
  <si>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</si>
  <si>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</si>
  <si>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</si>
  <si>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</si>
  <si>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</si>
  <si>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</si>
  <si>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2026-09-25; 7 day = 2026-10-02, 15 day = 2026-10-12.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</si>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</sst>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114.89</v>
      </c>
      <c r="I16" s="6" t="n">
        <f aca="false">Details!O2</f>
        <v>0.953730645533371</v>
      </c>
      <c r="J16" s="5" t="n">
        <f aca="false">Details!G3</f>
        <v>114.89</v>
      </c>
      <c r="K16" s="6" t="n">
        <f aca="false">Details!O3</f>
        <v>0.931407571139562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96.41</v>
      </c>
      <c r="I17" s="6" t="n">
        <f aca="false">Details!O4</f>
        <v>0.954038854345771</v>
      </c>
      <c r="J17" s="5" t="n">
        <f aca="false">Details!G5</f>
        <v>96.41</v>
      </c>
      <c r="K17" s="6" t="n">
        <f aca="false">Details!O5</f>
        <v>0.931498322655786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2.9</v>
      </c>
      <c r="I18" s="6" t="n">
        <f aca="false">Details!O6</f>
        <v>0.890291007923315</v>
      </c>
      <c r="J18" s="5" t="n">
        <f aca="false">Details!G7</f>
        <v>2.9</v>
      </c>
      <c r="K18" s="6" t="n">
        <f aca="false">Details!O7</f>
        <v>0.846987738187195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46290</v>
      </c>
      <c r="E2" s="10" t="n">
        <v>46297</v>
      </c>
      <c r="F2" s="11" t="n">
        <v>114.89</v>
      </c>
      <c r="G2" s="11" t="n">
        <v>114.89</v>
      </c>
      <c r="H2" s="12" t="n">
        <f aca="false">G2/F2-1</f>
        <v>0</v>
      </c>
      <c r="I2" s="11" t="n">
        <v>103.160114889762</v>
      </c>
      <c r="J2" s="11" t="n">
        <v>127.104129195855</v>
      </c>
      <c r="K2" s="11" t="n">
        <v>95.0775464893845</v>
      </c>
      <c r="L2" s="11" t="n">
        <v>134.836433701868</v>
      </c>
      <c r="M2" s="13" t="n">
        <v>0.530230326295585</v>
      </c>
      <c r="N2" s="14" t="n">
        <v>0.0462693544666288</v>
      </c>
      <c r="O2" s="15" t="n">
        <f aca="false">1-N2</f>
        <v>0.953730645533371</v>
      </c>
      <c r="P2" s="13" t="n">
        <v>0.693378119001919</v>
      </c>
      <c r="Q2" s="13" t="n">
        <v>0.788955713504647</v>
      </c>
      <c r="R2" s="13" t="n">
        <v>0.787644787644788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46290</v>
      </c>
      <c r="E3" s="10" t="n">
        <v>46307</v>
      </c>
      <c r="F3" s="11" t="n">
        <v>114.89</v>
      </c>
      <c r="G3" s="11" t="n">
        <v>114.89</v>
      </c>
      <c r="H3" s="12" t="n">
        <f aca="false">G3/F3-1</f>
        <v>0</v>
      </c>
      <c r="I3" s="11" t="n">
        <v>97.2689137379789</v>
      </c>
      <c r="J3" s="11" t="n">
        <v>133.534447248019</v>
      </c>
      <c r="K3" s="11" t="n">
        <v>85.3484249090278</v>
      </c>
      <c r="L3" s="11" t="n">
        <v>149.037593417766</v>
      </c>
      <c r="M3" s="13" t="n">
        <v>0.547641963426372</v>
      </c>
      <c r="N3" s="14" t="n">
        <v>0.0685924288604382</v>
      </c>
      <c r="O3" s="15" t="n">
        <f aca="false">1-N3</f>
        <v>0.931407571139562</v>
      </c>
      <c r="P3" s="13" t="n">
        <v>0.533686236766121</v>
      </c>
      <c r="Q3" s="13" t="n">
        <v>0.794716565767749</v>
      </c>
      <c r="R3" s="13" t="n">
        <v>0.779296875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46290</v>
      </c>
      <c r="E4" s="10" t="n">
        <v>46297</v>
      </c>
      <c r="F4" s="11" t="n">
        <v>96.41</v>
      </c>
      <c r="G4" s="11" t="n">
        <v>96.41</v>
      </c>
      <c r="H4" s="12" t="n">
        <f aca="false">G4/F4-1</f>
        <v>0</v>
      </c>
      <c r="I4" s="11" t="n">
        <v>89.2919652387182</v>
      </c>
      <c r="J4" s="11" t="n">
        <v>103.37407382841</v>
      </c>
      <c r="K4" s="11" t="n">
        <v>84.1205375159095</v>
      </c>
      <c r="L4" s="11" t="n">
        <v>107.32205803906</v>
      </c>
      <c r="M4" s="13" t="n">
        <v>0.534548944337812</v>
      </c>
      <c r="N4" s="14" t="n">
        <v>0.0459611456542293</v>
      </c>
      <c r="O4" s="15" t="n">
        <f aca="false">1-N4</f>
        <v>0.954038854345771</v>
      </c>
      <c r="P4" s="13" t="n">
        <v>0.699616122840691</v>
      </c>
      <c r="Q4" s="13" t="n">
        <v>0.802624384909787</v>
      </c>
      <c r="R4" s="13" t="n">
        <v>0.808880308880309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46290</v>
      </c>
      <c r="E5" s="10" t="n">
        <v>46307</v>
      </c>
      <c r="F5" s="11" t="n">
        <v>96.41</v>
      </c>
      <c r="G5" s="11" t="n">
        <v>96.41</v>
      </c>
      <c r="H5" s="12" t="n">
        <f aca="false">G5/F5-1</f>
        <v>0</v>
      </c>
      <c r="I5" s="11" t="n">
        <v>85.8430630323128</v>
      </c>
      <c r="J5" s="11" t="n">
        <v>106.536275403243</v>
      </c>
      <c r="K5" s="11" t="n">
        <v>78.2460999607669</v>
      </c>
      <c r="L5" s="11" t="n">
        <v>114.015666990143</v>
      </c>
      <c r="M5" s="13" t="n">
        <v>0.554379210779596</v>
      </c>
      <c r="N5" s="14" t="n">
        <v>0.0685016773442138</v>
      </c>
      <c r="O5" s="15" t="n">
        <f aca="false">1-N5</f>
        <v>0.931498322655786</v>
      </c>
      <c r="P5" s="13" t="n">
        <v>0.534167468719923</v>
      </c>
      <c r="Q5" s="13" t="n">
        <v>0.809025866813429</v>
      </c>
      <c r="R5" s="13" t="n">
        <v>0.8125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46290</v>
      </c>
      <c r="E6" s="10" t="n">
        <v>46297</v>
      </c>
      <c r="F6" s="11" t="n">
        <v>2.9</v>
      </c>
      <c r="G6" s="11" t="n">
        <v>2.9</v>
      </c>
      <c r="H6" s="12" t="n">
        <f aca="false">G6/F6-1</f>
        <v>0</v>
      </c>
      <c r="I6" s="11" t="n">
        <v>2.72572968164229</v>
      </c>
      <c r="J6" s="11" t="n">
        <v>3.09165992171546</v>
      </c>
      <c r="K6" s="11" t="n">
        <v>2.60759652164454</v>
      </c>
      <c r="L6" s="11" t="n">
        <v>3.25631417644535</v>
      </c>
      <c r="M6" s="13" t="n">
        <v>0.497600767754319</v>
      </c>
      <c r="N6" s="14" t="n">
        <v>0.109708992076685</v>
      </c>
      <c r="O6" s="15" t="n">
        <f aca="false">1-N6</f>
        <v>0.890291007923315</v>
      </c>
      <c r="P6" s="13" t="n">
        <v>0.421305182341651</v>
      </c>
      <c r="Q6" s="13" t="n">
        <v>0.819026790595954</v>
      </c>
      <c r="R6" s="13" t="n">
        <v>0.83011583011583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46290</v>
      </c>
      <c r="E7" s="10" t="n">
        <v>46307</v>
      </c>
      <c r="F7" s="11" t="n">
        <v>2.9</v>
      </c>
      <c r="G7" s="11" t="n">
        <v>2.9</v>
      </c>
      <c r="H7" s="12" t="n">
        <f aca="false">G7/F7-1</f>
        <v>0</v>
      </c>
      <c r="I7" s="11" t="n">
        <v>2.66699326800624</v>
      </c>
      <c r="J7" s="11" t="n">
        <v>3.1692178362004</v>
      </c>
      <c r="K7" s="11" t="n">
        <v>2.51443811266479</v>
      </c>
      <c r="L7" s="11" t="n">
        <v>3.4124115155948</v>
      </c>
      <c r="M7" s="13" t="n">
        <v>0.487006737247353</v>
      </c>
      <c r="N7" s="14" t="n">
        <v>0.153012261812805</v>
      </c>
      <c r="O7" s="15" t="n">
        <f aca="false">1-N7</f>
        <v>0.846987738187195</v>
      </c>
      <c r="P7" s="13" t="n">
        <v>0.296920115495669</v>
      </c>
      <c r="Q7" s="13" t="n">
        <v>0.820583379196478</v>
      </c>
      <c r="R7" s="13" t="n">
        <v>0.8125</v>
      </c>
      <c r="S7" s="16" t="s">
        <v>31</v>
      </c>
    </row>
    <row r="9" customFormat="false" ht="15" hidden="false" customHeight="false" outlineLevel="0" collapsed="false">
      <c r="A9" s="7" t="s">
        <v>34</v>
      </c>
    </row>
    <row r="10" customFormat="false" ht="15" hidden="false" customHeight="false" outlineLevel="0" collapsed="false">
      <c r="A10" s="7" t="s">
        <v>35</v>
      </c>
    </row>
    <row r="11" customFormat="false" ht="15" hidden="false" customHeight="false" outlineLevel="0" collapsed="false">
      <c r="A11" s="7" t="s">
        <v>36</v>
      </c>
    </row>
    <row r="12" customFormat="false" ht="15" hidden="false" customHeight="false" outlineLevel="0" collapsed="false">
      <c r="A12" s="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2026-09-26T14:50:52Z</dcterms:created>
  <dc:creator>openpyxl</dc:creator>
  <dc:description/>
  <dc:language>en-US</dc:language>
  <cp:lastModifiedBy/>
  <dcterms:modified xsi:type="dcterms:W3CDTF">2026-09-26T14:50:52Z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