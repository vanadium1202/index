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<sst xmlns="http://schemas.openxmlformats.org/spreadsheetml/2006/main" count="54" uniqueCount="38">
  <si>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</si>
  <si>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</si>
  <si>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</si>
  <si>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</si>
  <si>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</si>
  <si>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</si>
  <si>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</si>
  <si>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</si>
  <si>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2026-09-22; 7 day = 2026-09-29, 15 day = 2026-10-07.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</si>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</sst>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114.89</v>
      </c>
      <c r="I16" s="6" t="n">
        <f aca="false">Details!O2</f>
        <v>0.953763672949448</v>
      </c>
      <c r="J16" s="5" t="n">
        <f aca="false">Details!G3</f>
        <v>114.89</v>
      </c>
      <c r="K16" s="6" t="n">
        <f aca="false">Details!O3</f>
        <v>0.931402196736894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96.41</v>
      </c>
      <c r="I17" s="6" t="n">
        <f aca="false">Details!O4</f>
        <v>0.954075921750053</v>
      </c>
      <c r="J17" s="5" t="n">
        <f aca="false">Details!G5</f>
        <v>96.41</v>
      </c>
      <c r="K17" s="6" t="n">
        <f aca="false">Details!O5</f>
        <v>0.931472286957467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2.9</v>
      </c>
      <c r="I18" s="6" t="n">
        <f aca="false">Details!O6</f>
        <v>0.890199965037576</v>
      </c>
      <c r="J18" s="5" t="n">
        <f aca="false">Details!G7</f>
        <v>2.9</v>
      </c>
      <c r="K18" s="6" t="n">
        <f aca="false">Details!O7</f>
        <v>0.846827527911791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46287</v>
      </c>
      <c r="E2" s="10" t="n">
        <v>46294</v>
      </c>
      <c r="F2" s="11" t="n">
        <v>114.89</v>
      </c>
      <c r="G2" s="11" t="n">
        <v>114.89</v>
      </c>
      <c r="H2" s="12" t="n">
        <f aca="false">G2/F2-1</f>
        <v>0</v>
      </c>
      <c r="I2" s="11" t="n">
        <v>101.94825056334</v>
      </c>
      <c r="J2" s="11" t="n">
        <v>128.565264790535</v>
      </c>
      <c r="K2" s="11" t="n">
        <v>93.1144400399458</v>
      </c>
      <c r="L2" s="11" t="n">
        <v>137.225317462959</v>
      </c>
      <c r="M2" s="13" t="n">
        <v>0.531219980787704</v>
      </c>
      <c r="N2" s="14" t="n">
        <v>0.0462363270505519</v>
      </c>
      <c r="O2" s="15" t="n">
        <f aca="false">1-N2</f>
        <v>0.953763672949448</v>
      </c>
      <c r="P2" s="13" t="n">
        <v>0.6940441882805</v>
      </c>
      <c r="Q2" s="13" t="n">
        <v>0.789272030651341</v>
      </c>
      <c r="R2" s="13" t="n">
        <v>0.787234042553192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46287</v>
      </c>
      <c r="E3" s="10" t="n">
        <v>46302</v>
      </c>
      <c r="F3" s="11" t="n">
        <v>114.89</v>
      </c>
      <c r="G3" s="11" t="n">
        <v>114.89</v>
      </c>
      <c r="H3" s="12" t="n">
        <f aca="false">G3/F3-1</f>
        <v>0</v>
      </c>
      <c r="I3" s="11" t="n">
        <v>95.509259484221</v>
      </c>
      <c r="J3" s="11" t="n">
        <v>135.762660795561</v>
      </c>
      <c r="K3" s="11" t="n">
        <v>82.6121811734834</v>
      </c>
      <c r="L3" s="11" t="n">
        <v>153.35805542599</v>
      </c>
      <c r="M3" s="13" t="n">
        <v>0.547687861271676</v>
      </c>
      <c r="N3" s="14" t="n">
        <v>0.0685978032631059</v>
      </c>
      <c r="O3" s="15" t="n">
        <f aca="false">1-N3</f>
        <v>0.931402196736894</v>
      </c>
      <c r="P3" s="13" t="n">
        <v>0.533718689788054</v>
      </c>
      <c r="Q3" s="13" t="n">
        <v>0.79504132231405</v>
      </c>
      <c r="R3" s="13" t="n">
        <v>0.778864970645792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46287</v>
      </c>
      <c r="E4" s="10" t="n">
        <v>46294</v>
      </c>
      <c r="F4" s="11" t="n">
        <v>96.41</v>
      </c>
      <c r="G4" s="11" t="n">
        <v>96.41</v>
      </c>
      <c r="H4" s="12" t="n">
        <f aca="false">G4/F4-1</f>
        <v>0</v>
      </c>
      <c r="I4" s="11" t="n">
        <v>88.5392064656678</v>
      </c>
      <c r="J4" s="11" t="n">
        <v>104.172170454986</v>
      </c>
      <c r="K4" s="11" t="n">
        <v>82.864404203947</v>
      </c>
      <c r="L4" s="11" t="n">
        <v>108.594045600806</v>
      </c>
      <c r="M4" s="13" t="n">
        <v>0.535542747358309</v>
      </c>
      <c r="N4" s="14" t="n">
        <v>0.0459240782499474</v>
      </c>
      <c r="O4" s="15" t="n">
        <f aca="false">1-N4</f>
        <v>0.954075921750053</v>
      </c>
      <c r="P4" s="13" t="n">
        <v>0.700768491834774</v>
      </c>
      <c r="Q4" s="13" t="n">
        <v>0.802408319649699</v>
      </c>
      <c r="R4" s="13" t="n">
        <v>0.808510638297872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46287</v>
      </c>
      <c r="E5" s="10" t="n">
        <v>46302</v>
      </c>
      <c r="F5" s="11" t="n">
        <v>96.41</v>
      </c>
      <c r="G5" s="11" t="n">
        <v>96.41</v>
      </c>
      <c r="H5" s="12" t="n">
        <f aca="false">G5/F5-1</f>
        <v>0</v>
      </c>
      <c r="I5" s="11" t="n">
        <v>84.7446636495265</v>
      </c>
      <c r="J5" s="11" t="n">
        <v>107.725208886862</v>
      </c>
      <c r="K5" s="11" t="n">
        <v>76.4697250875054</v>
      </c>
      <c r="L5" s="11" t="n">
        <v>116.156894768211</v>
      </c>
      <c r="M5" s="13" t="n">
        <v>0.554913294797688</v>
      </c>
      <c r="N5" s="14" t="n">
        <v>0.0685277130425333</v>
      </c>
      <c r="O5" s="15" t="n">
        <f aca="false">1-N5</f>
        <v>0.931472286957467</v>
      </c>
      <c r="P5" s="13" t="n">
        <v>0.534200385356455</v>
      </c>
      <c r="Q5" s="13" t="n">
        <v>0.808264462809917</v>
      </c>
      <c r="R5" s="13" t="n">
        <v>0.812133072407045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46287</v>
      </c>
      <c r="E6" s="10" t="n">
        <v>46294</v>
      </c>
      <c r="F6" s="11" t="n">
        <v>2.9</v>
      </c>
      <c r="G6" s="11" t="n">
        <v>2.9</v>
      </c>
      <c r="H6" s="12" t="n">
        <f aca="false">G6/F6-1</f>
        <v>0</v>
      </c>
      <c r="I6" s="11" t="n">
        <v>2.707254214317</v>
      </c>
      <c r="J6" s="11" t="n">
        <v>3.11347801108038</v>
      </c>
      <c r="K6" s="11" t="n">
        <v>2.57733467910111</v>
      </c>
      <c r="L6" s="11" t="n">
        <v>3.29796668166094</v>
      </c>
      <c r="M6" s="13" t="n">
        <v>0.498559077809798</v>
      </c>
      <c r="N6" s="14" t="n">
        <v>0.109800034962424</v>
      </c>
      <c r="O6" s="15" t="n">
        <f aca="false">1-N6</f>
        <v>0.890199965037576</v>
      </c>
      <c r="P6" s="13" t="n">
        <v>0.420749279538905</v>
      </c>
      <c r="Q6" s="13" t="n">
        <v>0.818828680897646</v>
      </c>
      <c r="R6" s="13" t="n">
        <v>0.829787234042553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46287</v>
      </c>
      <c r="E7" s="10" t="n">
        <v>46302</v>
      </c>
      <c r="F7" s="11" t="n">
        <v>2.9</v>
      </c>
      <c r="G7" s="11" t="n">
        <v>2.9</v>
      </c>
      <c r="H7" s="12" t="n">
        <f aca="false">G7/F7-1</f>
        <v>0</v>
      </c>
      <c r="I7" s="11" t="n">
        <v>2.64261838305278</v>
      </c>
      <c r="J7" s="11" t="n">
        <v>3.20101012672383</v>
      </c>
      <c r="K7" s="11" t="n">
        <v>2.4752416688381</v>
      </c>
      <c r="L7" s="11" t="n">
        <v>3.48188203171248</v>
      </c>
      <c r="M7" s="13" t="n">
        <v>0.486994219653179</v>
      </c>
      <c r="N7" s="14" t="n">
        <v>0.153172472088209</v>
      </c>
      <c r="O7" s="15" t="n">
        <f aca="false">1-N7</f>
        <v>0.846827527911791</v>
      </c>
      <c r="P7" s="13" t="n">
        <v>0.295761078998073</v>
      </c>
      <c r="Q7" s="13" t="n">
        <v>0.820936639118457</v>
      </c>
      <c r="R7" s="13" t="n">
        <v>0.812133072407045</v>
      </c>
      <c r="S7" s="16" t="s">
        <v>31</v>
      </c>
    </row>
    <row r="9" customFormat="false" ht="15" hidden="false" customHeight="false" outlineLevel="0" collapsed="false">
      <c r="A9" s="7" t="s">
        <v>34</v>
      </c>
    </row>
    <row r="10" customFormat="false" ht="15" hidden="false" customHeight="false" outlineLevel="0" collapsed="false">
      <c r="A10" s="7" t="s">
        <v>35</v>
      </c>
    </row>
    <row r="11" customFormat="false" ht="15" hidden="false" customHeight="false" outlineLevel="0" collapsed="false">
      <c r="A11" s="7" t="s">
        <v>36</v>
      </c>
    </row>
    <row r="12" customFormat="false" ht="15" hidden="false" customHeight="false" outlineLevel="0" collapsed="false">
      <c r="A12" s="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2026-09-29T06:52:48Z</dcterms:created>
  <dc:creator>openpyxl</dc:creator>
  <dc:description/>
  <dc:language>en-US</dc:language>
  <cp:lastModifiedBy/>
  <dcterms:modified xsi:type="dcterms:W3CDTF">2026-09-29T06:52:48Z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